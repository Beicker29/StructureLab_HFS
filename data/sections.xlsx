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Users\byomayusa\Downloads\"/>
    </mc:Choice>
  </mc:AlternateContent>
  <xr:revisionPtr revIDLastSave="0" documentId="13_ncr:1_{10C8999D-0F62-4294-89A9-C1A616F62CB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w" sheetId="1" r:id="rId1"/>
    <sheet name="2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71" i="2" l="1"/>
  <c r="U171" i="2"/>
  <c r="T171" i="2"/>
  <c r="V138" i="2"/>
  <c r="U138" i="2"/>
  <c r="T138" i="2"/>
  <c r="G3" i="2"/>
  <c r="G4" i="2" s="1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G318" i="2" s="1"/>
  <c r="G319" i="2" s="1"/>
  <c r="G320" i="2" s="1"/>
  <c r="G321" i="2" s="1"/>
  <c r="G322" i="2" s="1"/>
  <c r="G323" i="2" s="1"/>
  <c r="G324" i="2" s="1"/>
  <c r="G325" i="2" s="1"/>
  <c r="G326" i="2" s="1"/>
  <c r="G327" i="2" s="1"/>
  <c r="G328" i="2" s="1"/>
  <c r="G329" i="2" s="1"/>
  <c r="G330" i="2" s="1"/>
  <c r="G331" i="2" s="1"/>
  <c r="G332" i="2" s="1"/>
  <c r="G333" i="2" s="1"/>
  <c r="G334" i="2" s="1"/>
  <c r="G335" i="2" s="1"/>
  <c r="G336" i="2" s="1"/>
  <c r="G337" i="2" s="1"/>
  <c r="G338" i="2" s="1"/>
  <c r="G339" i="2" s="1"/>
  <c r="G340" i="2" s="1"/>
  <c r="G341" i="2" s="1"/>
  <c r="G342" i="2" s="1"/>
  <c r="G343" i="2" s="1"/>
  <c r="G344" i="2" s="1"/>
  <c r="G345" i="2" s="1"/>
  <c r="G346" i="2" s="1"/>
  <c r="G347" i="2" s="1"/>
  <c r="G348" i="2" s="1"/>
  <c r="G349" i="2" s="1"/>
  <c r="G350" i="2" s="1"/>
  <c r="G351" i="2" s="1"/>
  <c r="G352" i="2" s="1"/>
  <c r="G353" i="2" s="1"/>
  <c r="G354" i="2" s="1"/>
  <c r="G355" i="2" s="1"/>
  <c r="G356" i="2" s="1"/>
  <c r="G357" i="2" s="1"/>
  <c r="G358" i="2" s="1"/>
  <c r="G359" i="2" s="1"/>
  <c r="G360" i="2" s="1"/>
  <c r="G361" i="2" s="1"/>
  <c r="G362" i="2" s="1"/>
  <c r="G363" i="2" s="1"/>
  <c r="G364" i="2" s="1"/>
  <c r="G365" i="2" s="1"/>
  <c r="G366" i="2" s="1"/>
  <c r="G367" i="2" s="1"/>
  <c r="G368" i="2" s="1"/>
  <c r="G369" i="2" s="1"/>
  <c r="G370" i="2" s="1"/>
  <c r="G371" i="2" s="1"/>
  <c r="G372" i="2" s="1"/>
  <c r="G373" i="2" s="1"/>
  <c r="G374" i="2" s="1"/>
  <c r="G375" i="2" s="1"/>
  <c r="G376" i="2" s="1"/>
  <c r="G377" i="2" s="1"/>
  <c r="G378" i="2" s="1"/>
  <c r="G379" i="2" s="1"/>
  <c r="G380" i="2" s="1"/>
  <c r="G381" i="2" s="1"/>
  <c r="G382" i="2" s="1"/>
  <c r="G383" i="2" s="1"/>
  <c r="G384" i="2" s="1"/>
  <c r="G385" i="2" s="1"/>
  <c r="G386" i="2" s="1"/>
  <c r="G387" i="2" s="1"/>
  <c r="G388" i="2" s="1"/>
  <c r="G389" i="2" s="1"/>
  <c r="G390" i="2" s="1"/>
  <c r="G391" i="2" s="1"/>
  <c r="G392" i="2" s="1"/>
  <c r="G393" i="2" s="1"/>
  <c r="G394" i="2" s="1"/>
  <c r="G395" i="2" s="1"/>
  <c r="G396" i="2" s="1"/>
  <c r="G397" i="2" s="1"/>
  <c r="G398" i="2" s="1"/>
  <c r="G399" i="2" s="1"/>
  <c r="G400" i="2" s="1"/>
  <c r="G401" i="2" s="1"/>
  <c r="G402" i="2" s="1"/>
  <c r="G403" i="2" s="1"/>
  <c r="G404" i="2" s="1"/>
  <c r="G405" i="2" s="1"/>
  <c r="G406" i="2" s="1"/>
  <c r="G407" i="2" s="1"/>
  <c r="G408" i="2" s="1"/>
  <c r="G409" i="2" s="1"/>
  <c r="G410" i="2" s="1"/>
  <c r="G411" i="2" s="1"/>
  <c r="G412" i="2" s="1"/>
  <c r="G413" i="2" s="1"/>
  <c r="G414" i="2" s="1"/>
  <c r="G415" i="2" s="1"/>
  <c r="G416" i="2" s="1"/>
  <c r="G417" i="2" s="1"/>
  <c r="G418" i="2" s="1"/>
  <c r="G419" i="2" s="1"/>
  <c r="G420" i="2" s="1"/>
  <c r="G421" i="2" s="1"/>
  <c r="G422" i="2" s="1"/>
  <c r="G423" i="2" s="1"/>
  <c r="G424" i="2" s="1"/>
  <c r="G425" i="2" s="1"/>
  <c r="G426" i="2" s="1"/>
  <c r="G427" i="2" s="1"/>
  <c r="G428" i="2" s="1"/>
  <c r="G429" i="2" s="1"/>
  <c r="G430" i="2" s="1"/>
  <c r="G431" i="2" s="1"/>
  <c r="G432" i="2" s="1"/>
  <c r="G433" i="2" s="1"/>
  <c r="G434" i="2" s="1"/>
  <c r="G435" i="2" s="1"/>
  <c r="G436" i="2" s="1"/>
  <c r="G437" i="2" s="1"/>
  <c r="G438" i="2" s="1"/>
  <c r="G439" i="2" s="1"/>
  <c r="G440" i="2" s="1"/>
  <c r="G441" i="2" s="1"/>
  <c r="G442" i="2" s="1"/>
  <c r="G443" i="2" s="1"/>
  <c r="G444" i="2" s="1"/>
  <c r="G445" i="2" s="1"/>
  <c r="G446" i="2" s="1"/>
  <c r="G447" i="2" s="1"/>
  <c r="G448" i="2" s="1"/>
  <c r="G449" i="2" s="1"/>
  <c r="G450" i="2" s="1"/>
  <c r="G451" i="2" s="1"/>
  <c r="G452" i="2" s="1"/>
  <c r="G453" i="2" s="1"/>
  <c r="G454" i="2" s="1"/>
  <c r="G455" i="2" s="1"/>
  <c r="G456" i="2" s="1"/>
  <c r="G457" i="2" s="1"/>
  <c r="G458" i="2" s="1"/>
  <c r="G459" i="2" s="1"/>
  <c r="G460" i="2" s="1"/>
  <c r="G461" i="2" s="1"/>
  <c r="G462" i="2" s="1"/>
  <c r="G463" i="2" s="1"/>
  <c r="G464" i="2" s="1"/>
  <c r="G465" i="2" s="1"/>
  <c r="G466" i="2" s="1"/>
  <c r="G467" i="2" s="1"/>
  <c r="G468" i="2" s="1"/>
  <c r="G469" i="2" s="1"/>
  <c r="G470" i="2" s="1"/>
  <c r="G471" i="2" s="1"/>
  <c r="G472" i="2" s="1"/>
  <c r="G473" i="2" s="1"/>
  <c r="G474" i="2" s="1"/>
  <c r="G475" i="2" s="1"/>
  <c r="G476" i="2" s="1"/>
  <c r="G477" i="2" s="1"/>
  <c r="G478" i="2" s="1"/>
  <c r="G479" i="2" s="1"/>
  <c r="G480" i="2" s="1"/>
  <c r="G481" i="2" s="1"/>
  <c r="G482" i="2" s="1"/>
  <c r="G483" i="2" s="1"/>
  <c r="G484" i="2" s="1"/>
  <c r="G485" i="2" s="1"/>
  <c r="G486" i="2" s="1"/>
  <c r="G487" i="2" s="1"/>
  <c r="G488" i="2" s="1"/>
  <c r="G489" i="2" s="1"/>
  <c r="G490" i="2" s="1"/>
  <c r="G491" i="2" s="1"/>
  <c r="G492" i="2" s="1"/>
  <c r="G493" i="2" s="1"/>
  <c r="G494" i="2" s="1"/>
  <c r="G495" i="2" s="1"/>
  <c r="G496" i="2" s="1"/>
  <c r="G497" i="2" s="1"/>
  <c r="G498" i="2" s="1"/>
  <c r="G499" i="2" s="1"/>
  <c r="G500" i="2" s="1"/>
  <c r="G501" i="2" s="1"/>
  <c r="G502" i="2" s="1"/>
  <c r="G503" i="2" s="1"/>
  <c r="G504" i="2" s="1"/>
  <c r="G505" i="2" s="1"/>
  <c r="G506" i="2" s="1"/>
  <c r="G507" i="2" s="1"/>
  <c r="G508" i="2" s="1"/>
  <c r="G509" i="2" s="1"/>
  <c r="G510" i="2" s="1"/>
  <c r="G511" i="2" s="1"/>
  <c r="G512" i="2" s="1"/>
  <c r="G513" i="2" s="1"/>
  <c r="G514" i="2" s="1"/>
  <c r="G515" i="2" s="1"/>
  <c r="G516" i="2" s="1"/>
  <c r="G517" i="2" s="1"/>
  <c r="G518" i="2" s="1"/>
  <c r="G519" i="2" s="1"/>
  <c r="G520" i="2" s="1"/>
  <c r="G521" i="2" s="1"/>
  <c r="G522" i="2" s="1"/>
  <c r="G523" i="2" s="1"/>
  <c r="G524" i="2" s="1"/>
  <c r="G525" i="2" s="1"/>
  <c r="G526" i="2" s="1"/>
  <c r="G527" i="2" s="1"/>
  <c r="G528" i="2" s="1"/>
  <c r="G529" i="2" s="1"/>
  <c r="G530" i="2" s="1"/>
  <c r="G531" i="2" s="1"/>
  <c r="G532" i="2" s="1"/>
  <c r="G533" i="2" s="1"/>
  <c r="G534" i="2" s="1"/>
  <c r="G535" i="2" s="1"/>
  <c r="G536" i="2" s="1"/>
  <c r="G537" i="2" s="1"/>
  <c r="G538" i="2" s="1"/>
  <c r="G539" i="2" s="1"/>
  <c r="G540" i="2" s="1"/>
  <c r="G541" i="2" s="1"/>
  <c r="G542" i="2" s="1"/>
  <c r="G543" i="2" s="1"/>
  <c r="G544" i="2" s="1"/>
  <c r="G545" i="2" s="1"/>
  <c r="G546" i="2" s="1"/>
  <c r="G547" i="2" s="1"/>
  <c r="G548" i="2" s="1"/>
  <c r="G549" i="2" s="1"/>
  <c r="G550" i="2" s="1"/>
  <c r="G551" i="2" s="1"/>
  <c r="G552" i="2" s="1"/>
  <c r="G553" i="2" s="1"/>
  <c r="G554" i="2" s="1"/>
  <c r="G555" i="2" s="1"/>
  <c r="G556" i="2" s="1"/>
  <c r="G557" i="2" s="1"/>
  <c r="G558" i="2" s="1"/>
  <c r="G559" i="2" s="1"/>
  <c r="G560" i="2" s="1"/>
  <c r="G561" i="2" s="1"/>
  <c r="G562" i="2" s="1"/>
  <c r="G563" i="2" s="1"/>
  <c r="G564" i="2" s="1"/>
  <c r="G565" i="2" s="1"/>
  <c r="G566" i="2" s="1"/>
  <c r="G567" i="2" s="1"/>
  <c r="G568" i="2" s="1"/>
  <c r="G569" i="2" s="1"/>
  <c r="G570" i="2" s="1"/>
  <c r="G571" i="2" s="1"/>
  <c r="G572" i="2" s="1"/>
  <c r="G573" i="2" s="1"/>
  <c r="G574" i="2" s="1"/>
  <c r="G575" i="2" s="1"/>
  <c r="G576" i="2" s="1"/>
  <c r="G577" i="2" s="1"/>
  <c r="G578" i="2" s="1"/>
  <c r="G579" i="2" s="1"/>
  <c r="G580" i="2" s="1"/>
  <c r="G581" i="2" s="1"/>
  <c r="G582" i="2" s="1"/>
  <c r="G583" i="2" s="1"/>
  <c r="G584" i="2" s="1"/>
  <c r="G585" i="2" s="1"/>
  <c r="G586" i="2" s="1"/>
  <c r="G587" i="2" s="1"/>
  <c r="G588" i="2" s="1"/>
  <c r="G589" i="2" s="1"/>
  <c r="G590" i="2" s="1"/>
  <c r="G591" i="2" s="1"/>
  <c r="G592" i="2" s="1"/>
  <c r="G593" i="2" s="1"/>
  <c r="G594" i="2" s="1"/>
  <c r="G595" i="2" s="1"/>
  <c r="G596" i="2" s="1"/>
  <c r="G597" i="2" s="1"/>
  <c r="G598" i="2" s="1"/>
  <c r="G599" i="2" s="1"/>
  <c r="G600" i="2" s="1"/>
  <c r="G601" i="2" s="1"/>
  <c r="G602" i="2" s="1"/>
  <c r="G603" i="2" s="1"/>
  <c r="G604" i="2" s="1"/>
  <c r="G605" i="2" s="1"/>
  <c r="G606" i="2" s="1"/>
  <c r="G607" i="2" s="1"/>
  <c r="G608" i="2" s="1"/>
  <c r="G609" i="2" s="1"/>
  <c r="G610" i="2" s="1"/>
  <c r="G611" i="2" s="1"/>
  <c r="G612" i="2" s="1"/>
  <c r="G613" i="2" s="1"/>
  <c r="G614" i="2" s="1"/>
  <c r="G615" i="2" s="1"/>
  <c r="G616" i="2" s="1"/>
  <c r="G617" i="2" s="1"/>
  <c r="G618" i="2" s="1"/>
  <c r="G619" i="2" s="1"/>
  <c r="G620" i="2" s="1"/>
  <c r="G621" i="2" s="1"/>
  <c r="G622" i="2" s="1"/>
  <c r="G623" i="2" s="1"/>
  <c r="G624" i="2" s="1"/>
  <c r="G625" i="2" s="1"/>
  <c r="G626" i="2" s="1"/>
  <c r="G627" i="2" s="1"/>
  <c r="G628" i="2" s="1"/>
  <c r="G629" i="2" s="1"/>
  <c r="G630" i="2" s="1"/>
  <c r="G631" i="2" s="1"/>
  <c r="G632" i="2" s="1"/>
  <c r="G633" i="2" s="1"/>
  <c r="G634" i="2" s="1"/>
  <c r="G635" i="2" s="1"/>
  <c r="G636" i="2" s="1"/>
  <c r="G637" i="2" s="1"/>
  <c r="G638" i="2" s="1"/>
  <c r="G639" i="2" s="1"/>
  <c r="G640" i="2" s="1"/>
  <c r="U3" i="2"/>
  <c r="U4" i="2" s="1"/>
  <c r="U5" i="2" s="1"/>
  <c r="U6" i="2" s="1"/>
  <c r="U7" i="2" s="1"/>
  <c r="U8" i="2" s="1"/>
  <c r="U9" i="2" s="1"/>
  <c r="U10" i="2" s="1"/>
  <c r="U11" i="2" s="1"/>
  <c r="U12" i="2" s="1"/>
  <c r="U13" i="2" s="1"/>
  <c r="U14" i="2" s="1"/>
  <c r="U15" i="2" s="1"/>
  <c r="U16" i="2" s="1"/>
  <c r="U17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U493" i="2" s="1"/>
  <c r="U494" i="2" s="1"/>
  <c r="U495" i="2" s="1"/>
  <c r="U496" i="2" s="1"/>
  <c r="U497" i="2" s="1"/>
  <c r="U498" i="2" s="1"/>
  <c r="U499" i="2" s="1"/>
  <c r="U500" i="2" s="1"/>
  <c r="U501" i="2" s="1"/>
  <c r="U502" i="2" s="1"/>
  <c r="U503" i="2" s="1"/>
  <c r="U504" i="2" s="1"/>
  <c r="U505" i="2" s="1"/>
  <c r="U506" i="2" s="1"/>
  <c r="U507" i="2" s="1"/>
  <c r="U508" i="2" s="1"/>
  <c r="U509" i="2" s="1"/>
  <c r="U510" i="2" s="1"/>
  <c r="U511" i="2" s="1"/>
  <c r="U512" i="2" s="1"/>
  <c r="U513" i="2" s="1"/>
  <c r="U514" i="2" s="1"/>
  <c r="U515" i="2" s="1"/>
  <c r="U516" i="2" s="1"/>
  <c r="U517" i="2" s="1"/>
  <c r="U518" i="2" s="1"/>
  <c r="U519" i="2" s="1"/>
  <c r="U520" i="2" s="1"/>
  <c r="U521" i="2" s="1"/>
  <c r="U522" i="2" s="1"/>
  <c r="U523" i="2" s="1"/>
  <c r="U524" i="2" s="1"/>
  <c r="U525" i="2" s="1"/>
  <c r="U526" i="2" s="1"/>
  <c r="U527" i="2" s="1"/>
  <c r="U528" i="2" s="1"/>
  <c r="U529" i="2" s="1"/>
  <c r="U530" i="2" s="1"/>
  <c r="U531" i="2" s="1"/>
  <c r="U532" i="2" s="1"/>
  <c r="U533" i="2" s="1"/>
  <c r="U534" i="2" s="1"/>
  <c r="U535" i="2" s="1"/>
  <c r="U536" i="2" s="1"/>
  <c r="U537" i="2" s="1"/>
  <c r="U538" i="2" s="1"/>
  <c r="U539" i="2" s="1"/>
  <c r="U540" i="2" s="1"/>
  <c r="U541" i="2" s="1"/>
  <c r="U542" i="2" s="1"/>
  <c r="U543" i="2" s="1"/>
  <c r="U544" i="2" s="1"/>
  <c r="U545" i="2" s="1"/>
  <c r="U546" i="2" s="1"/>
  <c r="U547" i="2" s="1"/>
  <c r="U548" i="2" s="1"/>
  <c r="U549" i="2" s="1"/>
  <c r="U550" i="2" s="1"/>
  <c r="U551" i="2" s="1"/>
  <c r="U552" i="2" s="1"/>
  <c r="U553" i="2" s="1"/>
  <c r="U554" i="2" s="1"/>
  <c r="U555" i="2" s="1"/>
  <c r="U556" i="2" s="1"/>
  <c r="U557" i="2" s="1"/>
  <c r="U558" i="2" s="1"/>
  <c r="U559" i="2" s="1"/>
  <c r="U560" i="2" s="1"/>
  <c r="U561" i="2" s="1"/>
  <c r="U562" i="2" s="1"/>
  <c r="U563" i="2" s="1"/>
  <c r="U564" i="2" s="1"/>
  <c r="U565" i="2" s="1"/>
  <c r="U566" i="2" s="1"/>
  <c r="U567" i="2" s="1"/>
  <c r="U568" i="2" s="1"/>
  <c r="U569" i="2" s="1"/>
  <c r="U570" i="2" s="1"/>
  <c r="U571" i="2" s="1"/>
  <c r="U572" i="2" s="1"/>
  <c r="U573" i="2" s="1"/>
  <c r="U574" i="2" s="1"/>
  <c r="U575" i="2" s="1"/>
  <c r="U576" i="2" s="1"/>
  <c r="U577" i="2" s="1"/>
  <c r="U578" i="2" s="1"/>
  <c r="U579" i="2" s="1"/>
  <c r="U580" i="2" s="1"/>
  <c r="U581" i="2" s="1"/>
  <c r="U582" i="2" s="1"/>
  <c r="U583" i="2" s="1"/>
  <c r="U584" i="2" s="1"/>
  <c r="U585" i="2" s="1"/>
  <c r="U586" i="2" s="1"/>
  <c r="U587" i="2" s="1"/>
  <c r="U588" i="2" s="1"/>
  <c r="U589" i="2" s="1"/>
  <c r="U590" i="2" s="1"/>
  <c r="U591" i="2" s="1"/>
  <c r="U592" i="2" s="1"/>
  <c r="U593" i="2" s="1"/>
  <c r="U594" i="2" s="1"/>
  <c r="U595" i="2" s="1"/>
  <c r="U596" i="2" s="1"/>
  <c r="U597" i="2" s="1"/>
  <c r="U598" i="2" s="1"/>
  <c r="U599" i="2" s="1"/>
  <c r="U600" i="2" s="1"/>
  <c r="U601" i="2" s="1"/>
  <c r="U602" i="2" s="1"/>
  <c r="U603" i="2" s="1"/>
  <c r="U604" i="2" s="1"/>
  <c r="U605" i="2" s="1"/>
  <c r="U606" i="2" s="1"/>
  <c r="U607" i="2" s="1"/>
  <c r="U608" i="2" s="1"/>
  <c r="U609" i="2" s="1"/>
  <c r="U610" i="2" s="1"/>
  <c r="U611" i="2" s="1"/>
  <c r="U612" i="2" s="1"/>
  <c r="U613" i="2" s="1"/>
  <c r="U614" i="2" s="1"/>
  <c r="U615" i="2" s="1"/>
  <c r="U616" i="2" s="1"/>
  <c r="U617" i="2" s="1"/>
  <c r="U618" i="2" s="1"/>
  <c r="U619" i="2" s="1"/>
  <c r="U620" i="2" s="1"/>
  <c r="U621" i="2" s="1"/>
  <c r="U622" i="2" s="1"/>
  <c r="U623" i="2" s="1"/>
  <c r="U624" i="2" s="1"/>
  <c r="U625" i="2" s="1"/>
  <c r="U626" i="2" s="1"/>
  <c r="U627" i="2" s="1"/>
  <c r="U628" i="2" s="1"/>
  <c r="U629" i="2" s="1"/>
  <c r="U630" i="2" s="1"/>
  <c r="U631" i="2" s="1"/>
  <c r="U632" i="2" s="1"/>
  <c r="U633" i="2" s="1"/>
  <c r="U634" i="2" s="1"/>
  <c r="U635" i="2" s="1"/>
  <c r="U636" i="2" s="1"/>
  <c r="U637" i="2" s="1"/>
  <c r="U638" i="2" s="1"/>
  <c r="U639" i="2" s="1"/>
  <c r="U640" i="2" s="1"/>
  <c r="V3" i="2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V492" i="2" s="1"/>
  <c r="V493" i="2" s="1"/>
  <c r="V494" i="2" s="1"/>
  <c r="V495" i="2" s="1"/>
  <c r="V496" i="2" s="1"/>
  <c r="V497" i="2" s="1"/>
  <c r="V498" i="2" s="1"/>
  <c r="V499" i="2" s="1"/>
  <c r="V500" i="2" s="1"/>
  <c r="V501" i="2" s="1"/>
  <c r="V502" i="2" s="1"/>
  <c r="V503" i="2" s="1"/>
  <c r="V504" i="2" s="1"/>
  <c r="V505" i="2" s="1"/>
  <c r="V506" i="2" s="1"/>
  <c r="V507" i="2" s="1"/>
  <c r="V508" i="2" s="1"/>
  <c r="V509" i="2" s="1"/>
  <c r="V510" i="2" s="1"/>
  <c r="V511" i="2" s="1"/>
  <c r="V512" i="2" s="1"/>
  <c r="V513" i="2" s="1"/>
  <c r="V514" i="2" s="1"/>
  <c r="V515" i="2" s="1"/>
  <c r="V516" i="2" s="1"/>
  <c r="V517" i="2" s="1"/>
  <c r="V518" i="2" s="1"/>
  <c r="V519" i="2" s="1"/>
  <c r="V520" i="2" s="1"/>
  <c r="V521" i="2" s="1"/>
  <c r="V522" i="2" s="1"/>
  <c r="V523" i="2" s="1"/>
  <c r="V524" i="2" s="1"/>
  <c r="V525" i="2" s="1"/>
  <c r="V526" i="2" s="1"/>
  <c r="V527" i="2" s="1"/>
  <c r="V528" i="2" s="1"/>
  <c r="V529" i="2" s="1"/>
  <c r="V530" i="2" s="1"/>
  <c r="V531" i="2" s="1"/>
  <c r="V532" i="2" s="1"/>
  <c r="V533" i="2" s="1"/>
  <c r="V534" i="2" s="1"/>
  <c r="V535" i="2" s="1"/>
  <c r="V536" i="2" s="1"/>
  <c r="V537" i="2" s="1"/>
  <c r="V538" i="2" s="1"/>
  <c r="V539" i="2" s="1"/>
  <c r="V540" i="2" s="1"/>
  <c r="V541" i="2" s="1"/>
  <c r="V542" i="2" s="1"/>
  <c r="V543" i="2" s="1"/>
  <c r="V544" i="2" s="1"/>
  <c r="V545" i="2" s="1"/>
  <c r="V546" i="2" s="1"/>
  <c r="V547" i="2" s="1"/>
  <c r="V548" i="2" s="1"/>
  <c r="V549" i="2" s="1"/>
  <c r="V550" i="2" s="1"/>
  <c r="V551" i="2" s="1"/>
  <c r="V552" i="2" s="1"/>
  <c r="V553" i="2" s="1"/>
  <c r="V554" i="2" s="1"/>
  <c r="V555" i="2" s="1"/>
  <c r="V556" i="2" s="1"/>
  <c r="V557" i="2" s="1"/>
  <c r="V558" i="2" s="1"/>
  <c r="V559" i="2" s="1"/>
  <c r="V560" i="2" s="1"/>
  <c r="V561" i="2" s="1"/>
  <c r="V562" i="2" s="1"/>
  <c r="V563" i="2" s="1"/>
  <c r="V564" i="2" s="1"/>
  <c r="V565" i="2" s="1"/>
  <c r="V566" i="2" s="1"/>
  <c r="V567" i="2" s="1"/>
  <c r="V568" i="2" s="1"/>
  <c r="V569" i="2" s="1"/>
  <c r="V570" i="2" s="1"/>
  <c r="V571" i="2" s="1"/>
  <c r="V572" i="2" s="1"/>
  <c r="V573" i="2" s="1"/>
  <c r="V574" i="2" s="1"/>
  <c r="V575" i="2" s="1"/>
  <c r="V576" i="2" s="1"/>
  <c r="V577" i="2" s="1"/>
  <c r="V578" i="2" s="1"/>
  <c r="V579" i="2" s="1"/>
  <c r="V580" i="2" s="1"/>
  <c r="V581" i="2" s="1"/>
  <c r="V582" i="2" s="1"/>
  <c r="V583" i="2" s="1"/>
  <c r="V584" i="2" s="1"/>
  <c r="V585" i="2" s="1"/>
  <c r="V586" i="2" s="1"/>
  <c r="V587" i="2" s="1"/>
  <c r="V588" i="2" s="1"/>
  <c r="V589" i="2" s="1"/>
  <c r="V590" i="2" s="1"/>
  <c r="V591" i="2" s="1"/>
  <c r="V592" i="2" s="1"/>
  <c r="V593" i="2" s="1"/>
  <c r="V594" i="2" s="1"/>
  <c r="V595" i="2" s="1"/>
  <c r="V596" i="2" s="1"/>
  <c r="V597" i="2" s="1"/>
  <c r="V598" i="2" s="1"/>
  <c r="V599" i="2" s="1"/>
  <c r="V600" i="2" s="1"/>
  <c r="V601" i="2" s="1"/>
  <c r="V602" i="2" s="1"/>
  <c r="V603" i="2" s="1"/>
  <c r="V604" i="2" s="1"/>
  <c r="V605" i="2" s="1"/>
  <c r="V606" i="2" s="1"/>
  <c r="V607" i="2" s="1"/>
  <c r="V608" i="2" s="1"/>
  <c r="V609" i="2" s="1"/>
  <c r="V610" i="2" s="1"/>
  <c r="V611" i="2" s="1"/>
  <c r="V612" i="2" s="1"/>
  <c r="V613" i="2" s="1"/>
  <c r="V614" i="2" s="1"/>
  <c r="V615" i="2" s="1"/>
  <c r="V616" i="2" s="1"/>
  <c r="V617" i="2" s="1"/>
  <c r="V618" i="2" s="1"/>
  <c r="V619" i="2" s="1"/>
  <c r="V620" i="2" s="1"/>
  <c r="V621" i="2" s="1"/>
  <c r="V622" i="2" s="1"/>
  <c r="V623" i="2" s="1"/>
  <c r="V624" i="2" s="1"/>
  <c r="V625" i="2" s="1"/>
  <c r="V626" i="2" s="1"/>
  <c r="V627" i="2" s="1"/>
  <c r="V628" i="2" s="1"/>
  <c r="V629" i="2" s="1"/>
  <c r="V630" i="2" s="1"/>
  <c r="V631" i="2" s="1"/>
  <c r="V632" i="2" s="1"/>
  <c r="V633" i="2" s="1"/>
  <c r="V634" i="2" s="1"/>
  <c r="V635" i="2" s="1"/>
  <c r="V636" i="2" s="1"/>
  <c r="V637" i="2" s="1"/>
  <c r="V638" i="2" s="1"/>
  <c r="V639" i="2" s="1"/>
  <c r="V640" i="2" s="1"/>
  <c r="T3" i="2"/>
  <c r="T4" i="2" s="1"/>
  <c r="T5" i="2" s="1"/>
  <c r="T6" i="2" s="1"/>
  <c r="T7" i="2" s="1"/>
  <c r="T8" i="2" s="1"/>
  <c r="T9" i="2" s="1"/>
  <c r="T10" i="2" s="1"/>
  <c r="T11" i="2" s="1"/>
  <c r="T12" i="2" s="1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T30" i="2" s="1"/>
  <c r="T31" i="2" s="1"/>
  <c r="T32" i="2" s="1"/>
  <c r="T33" i="2" s="1"/>
  <c r="T34" i="2" s="1"/>
  <c r="T35" i="2" s="1"/>
  <c r="T36" i="2" s="1"/>
  <c r="T37" i="2" s="1"/>
  <c r="T38" i="2" s="1"/>
  <c r="T39" i="2" s="1"/>
  <c r="T40" i="2" s="1"/>
  <c r="T41" i="2" s="1"/>
  <c r="T42" i="2" s="1"/>
  <c r="T43" i="2" s="1"/>
  <c r="T44" i="2" s="1"/>
  <c r="T45" i="2" s="1"/>
  <c r="T46" i="2" s="1"/>
  <c r="T47" i="2" s="1"/>
  <c r="T48" i="2" s="1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T108" i="2" s="1"/>
  <c r="T109" i="2" s="1"/>
  <c r="T110" i="2" s="1"/>
  <c r="T111" i="2" s="1"/>
  <c r="T112" i="2" s="1"/>
  <c r="T113" i="2" s="1"/>
  <c r="T114" i="2" s="1"/>
  <c r="T115" i="2" s="1"/>
  <c r="T116" i="2" s="1"/>
  <c r="T117" i="2" s="1"/>
  <c r="T118" i="2" s="1"/>
  <c r="T119" i="2" s="1"/>
  <c r="T120" i="2" s="1"/>
  <c r="T121" i="2" s="1"/>
  <c r="T122" i="2" s="1"/>
  <c r="T123" i="2" s="1"/>
  <c r="T124" i="2" s="1"/>
  <c r="T125" i="2" s="1"/>
  <c r="T126" i="2" s="1"/>
  <c r="T127" i="2" s="1"/>
  <c r="T128" i="2" s="1"/>
  <c r="T129" i="2" s="1"/>
  <c r="T130" i="2" s="1"/>
  <c r="T131" i="2" s="1"/>
  <c r="T132" i="2" s="1"/>
  <c r="T133" i="2" s="1"/>
  <c r="T134" i="2" s="1"/>
  <c r="T135" i="2" s="1"/>
  <c r="T136" i="2" s="1"/>
  <c r="T137" i="2" s="1"/>
  <c r="T140" i="2" s="1"/>
  <c r="T141" i="2" s="1"/>
  <c r="T142" i="2" s="1"/>
  <c r="T143" i="2" s="1"/>
  <c r="T144" i="2" s="1"/>
  <c r="T145" i="2" s="1"/>
  <c r="T146" i="2" s="1"/>
  <c r="T147" i="2" s="1"/>
  <c r="T148" i="2" s="1"/>
  <c r="T149" i="2" s="1"/>
  <c r="T150" i="2" s="1"/>
  <c r="T151" i="2" s="1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166" i="2" s="1"/>
  <c r="T167" i="2" s="1"/>
  <c r="T168" i="2" s="1"/>
  <c r="T169" i="2" s="1"/>
  <c r="T170" i="2" s="1"/>
  <c r="T173" i="2" s="1"/>
  <c r="T174" i="2" s="1"/>
  <c r="T175" i="2" s="1"/>
  <c r="T176" i="2" s="1"/>
  <c r="T177" i="2" s="1"/>
  <c r="T178" i="2" s="1"/>
  <c r="T179" i="2" s="1"/>
  <c r="T180" i="2" s="1"/>
  <c r="T181" i="2" s="1"/>
  <c r="T182" i="2" s="1"/>
  <c r="T183" i="2" s="1"/>
  <c r="T184" i="2" s="1"/>
  <c r="T185" i="2" s="1"/>
  <c r="T186" i="2" s="1"/>
  <c r="T187" i="2" s="1"/>
  <c r="T188" i="2" s="1"/>
  <c r="T189" i="2" s="1"/>
  <c r="T190" i="2" s="1"/>
  <c r="T191" i="2" s="1"/>
  <c r="T192" i="2" s="1"/>
  <c r="T193" i="2" s="1"/>
  <c r="T194" i="2" s="1"/>
  <c r="T195" i="2" s="1"/>
  <c r="T196" i="2" s="1"/>
  <c r="T197" i="2" s="1"/>
  <c r="T198" i="2" s="1"/>
  <c r="T199" i="2" s="1"/>
  <c r="T200" i="2" s="1"/>
  <c r="T201" i="2" s="1"/>
  <c r="T202" i="2" s="1"/>
  <c r="T203" i="2" s="1"/>
  <c r="T204" i="2" s="1"/>
  <c r="T205" i="2" s="1"/>
  <c r="T206" i="2" s="1"/>
  <c r="T207" i="2" s="1"/>
  <c r="T208" i="2" s="1"/>
  <c r="T209" i="2" s="1"/>
  <c r="T210" i="2" s="1"/>
  <c r="T211" i="2" s="1"/>
  <c r="T212" i="2" s="1"/>
  <c r="T213" i="2" s="1"/>
  <c r="T214" i="2" s="1"/>
  <c r="T215" i="2" s="1"/>
  <c r="T216" i="2" s="1"/>
  <c r="T217" i="2" s="1"/>
  <c r="T218" i="2" s="1"/>
  <c r="T219" i="2" s="1"/>
  <c r="T220" i="2" s="1"/>
  <c r="T221" i="2" s="1"/>
  <c r="T222" i="2" s="1"/>
  <c r="T223" i="2" s="1"/>
  <c r="T224" i="2" s="1"/>
  <c r="T225" i="2" s="1"/>
  <c r="T226" i="2" s="1"/>
  <c r="T227" i="2" s="1"/>
  <c r="T228" i="2" s="1"/>
  <c r="T229" i="2" s="1"/>
  <c r="T230" i="2" s="1"/>
  <c r="T231" i="2" s="1"/>
  <c r="T232" i="2" s="1"/>
  <c r="T233" i="2" s="1"/>
  <c r="T234" i="2" s="1"/>
  <c r="T235" i="2" s="1"/>
  <c r="T236" i="2" s="1"/>
  <c r="T237" i="2" s="1"/>
  <c r="T238" i="2" s="1"/>
  <c r="T239" i="2" s="1"/>
  <c r="T240" i="2" s="1"/>
  <c r="T241" i="2" s="1"/>
  <c r="T242" i="2" s="1"/>
  <c r="T243" i="2" s="1"/>
  <c r="T244" i="2" s="1"/>
  <c r="T245" i="2" s="1"/>
  <c r="T246" i="2" s="1"/>
  <c r="T247" i="2" s="1"/>
  <c r="T248" i="2" s="1"/>
  <c r="T249" i="2" s="1"/>
  <c r="T250" i="2" s="1"/>
  <c r="T251" i="2" s="1"/>
  <c r="T252" i="2" s="1"/>
  <c r="T253" i="2" s="1"/>
  <c r="T254" i="2" s="1"/>
  <c r="T255" i="2" s="1"/>
  <c r="T256" i="2" s="1"/>
  <c r="T257" i="2" s="1"/>
  <c r="T258" i="2" s="1"/>
  <c r="T259" i="2" s="1"/>
  <c r="T260" i="2" s="1"/>
  <c r="T261" i="2" s="1"/>
  <c r="T262" i="2" s="1"/>
  <c r="T263" i="2" s="1"/>
  <c r="T264" i="2" s="1"/>
  <c r="T265" i="2" s="1"/>
  <c r="T266" i="2" s="1"/>
  <c r="T267" i="2" s="1"/>
  <c r="T268" i="2" s="1"/>
  <c r="T269" i="2" s="1"/>
  <c r="T270" i="2" s="1"/>
  <c r="T271" i="2" s="1"/>
  <c r="T272" i="2" s="1"/>
  <c r="T273" i="2" s="1"/>
  <c r="T274" i="2" s="1"/>
  <c r="T275" i="2" s="1"/>
  <c r="T276" i="2" s="1"/>
  <c r="T277" i="2" s="1"/>
  <c r="T278" i="2" s="1"/>
  <c r="T279" i="2" s="1"/>
  <c r="T280" i="2" s="1"/>
  <c r="T281" i="2" s="1"/>
  <c r="T282" i="2" s="1"/>
  <c r="T283" i="2" s="1"/>
  <c r="T284" i="2" s="1"/>
  <c r="T285" i="2" s="1"/>
  <c r="T286" i="2" s="1"/>
  <c r="T287" i="2" s="1"/>
  <c r="T288" i="2" s="1"/>
  <c r="T289" i="2" s="1"/>
  <c r="T290" i="2" s="1"/>
  <c r="T291" i="2" s="1"/>
  <c r="T292" i="2" s="1"/>
  <c r="T293" i="2" s="1"/>
  <c r="T294" i="2" s="1"/>
  <c r="T295" i="2" s="1"/>
  <c r="T296" i="2" s="1"/>
  <c r="T297" i="2" s="1"/>
  <c r="T298" i="2" s="1"/>
  <c r="T299" i="2" s="1"/>
  <c r="T300" i="2" s="1"/>
  <c r="T301" i="2" s="1"/>
  <c r="T302" i="2" s="1"/>
  <c r="T303" i="2" s="1"/>
  <c r="T304" i="2" s="1"/>
  <c r="T305" i="2" s="1"/>
  <c r="T306" i="2" s="1"/>
  <c r="T307" i="2" s="1"/>
  <c r="T308" i="2" s="1"/>
  <c r="T309" i="2" s="1"/>
  <c r="T310" i="2" s="1"/>
  <c r="T311" i="2" s="1"/>
  <c r="T312" i="2" s="1"/>
  <c r="T313" i="2" s="1"/>
  <c r="T314" i="2" s="1"/>
  <c r="T315" i="2" s="1"/>
  <c r="T316" i="2" s="1"/>
  <c r="T317" i="2" s="1"/>
  <c r="T318" i="2" s="1"/>
  <c r="T319" i="2" s="1"/>
  <c r="T320" i="2" s="1"/>
  <c r="T321" i="2" s="1"/>
  <c r="T322" i="2" s="1"/>
  <c r="T323" i="2" s="1"/>
  <c r="T324" i="2" s="1"/>
  <c r="T325" i="2" s="1"/>
  <c r="T326" i="2" s="1"/>
  <c r="T327" i="2" s="1"/>
  <c r="T328" i="2" s="1"/>
  <c r="T329" i="2" s="1"/>
  <c r="T330" i="2" s="1"/>
  <c r="T331" i="2" s="1"/>
  <c r="T332" i="2" s="1"/>
  <c r="T333" i="2" s="1"/>
  <c r="T334" i="2" s="1"/>
  <c r="T335" i="2" s="1"/>
  <c r="T336" i="2" s="1"/>
  <c r="T337" i="2" s="1"/>
  <c r="T338" i="2" s="1"/>
  <c r="T339" i="2" s="1"/>
  <c r="T340" i="2" s="1"/>
  <c r="T341" i="2" s="1"/>
  <c r="T342" i="2" s="1"/>
  <c r="T343" i="2" s="1"/>
  <c r="T344" i="2" s="1"/>
  <c r="T345" i="2" s="1"/>
  <c r="T346" i="2" s="1"/>
  <c r="T347" i="2" s="1"/>
  <c r="T348" i="2" s="1"/>
  <c r="T349" i="2" s="1"/>
  <c r="T350" i="2" s="1"/>
  <c r="T351" i="2" s="1"/>
  <c r="T352" i="2" s="1"/>
  <c r="T353" i="2" s="1"/>
  <c r="T354" i="2" s="1"/>
  <c r="T355" i="2" s="1"/>
  <c r="T356" i="2" s="1"/>
  <c r="T357" i="2" s="1"/>
  <c r="T358" i="2" s="1"/>
  <c r="T359" i="2" s="1"/>
  <c r="T360" i="2" s="1"/>
  <c r="T361" i="2" s="1"/>
  <c r="T362" i="2" s="1"/>
  <c r="T363" i="2" s="1"/>
  <c r="T364" i="2" s="1"/>
  <c r="T365" i="2" s="1"/>
  <c r="T366" i="2" s="1"/>
  <c r="T367" i="2" s="1"/>
  <c r="T368" i="2" s="1"/>
  <c r="T369" i="2" s="1"/>
  <c r="T370" i="2" s="1"/>
  <c r="T371" i="2" s="1"/>
  <c r="T372" i="2" s="1"/>
  <c r="T373" i="2" s="1"/>
  <c r="T374" i="2" s="1"/>
  <c r="T375" i="2" s="1"/>
  <c r="T376" i="2" s="1"/>
  <c r="T377" i="2" s="1"/>
  <c r="T378" i="2" s="1"/>
  <c r="T379" i="2" s="1"/>
  <c r="T380" i="2" s="1"/>
  <c r="T381" i="2" s="1"/>
  <c r="T382" i="2" s="1"/>
  <c r="T383" i="2" s="1"/>
  <c r="T384" i="2" s="1"/>
  <c r="T385" i="2" s="1"/>
  <c r="T386" i="2" s="1"/>
  <c r="T387" i="2" s="1"/>
  <c r="T388" i="2" s="1"/>
  <c r="T389" i="2" s="1"/>
  <c r="T390" i="2" s="1"/>
  <c r="T391" i="2" s="1"/>
  <c r="T392" i="2" s="1"/>
  <c r="T393" i="2" s="1"/>
  <c r="T394" i="2" s="1"/>
  <c r="T395" i="2" s="1"/>
  <c r="T396" i="2" s="1"/>
  <c r="T397" i="2" s="1"/>
  <c r="T398" i="2" s="1"/>
  <c r="T399" i="2" s="1"/>
  <c r="T400" i="2" s="1"/>
  <c r="T401" i="2" s="1"/>
  <c r="T402" i="2" s="1"/>
  <c r="T403" i="2" s="1"/>
  <c r="T404" i="2" s="1"/>
  <c r="T405" i="2" s="1"/>
  <c r="T406" i="2" s="1"/>
  <c r="T407" i="2" s="1"/>
  <c r="T408" i="2" s="1"/>
  <c r="T409" i="2" s="1"/>
  <c r="T410" i="2" s="1"/>
  <c r="T411" i="2" s="1"/>
  <c r="T412" i="2" s="1"/>
  <c r="T413" i="2" s="1"/>
  <c r="T414" i="2" s="1"/>
  <c r="T415" i="2" s="1"/>
  <c r="T416" i="2" s="1"/>
  <c r="T417" i="2" s="1"/>
  <c r="T418" i="2" s="1"/>
  <c r="T419" i="2" s="1"/>
  <c r="T420" i="2" s="1"/>
  <c r="T421" i="2" s="1"/>
  <c r="T422" i="2" s="1"/>
  <c r="T423" i="2" s="1"/>
  <c r="T424" i="2" s="1"/>
  <c r="T425" i="2" s="1"/>
  <c r="T426" i="2" s="1"/>
  <c r="T427" i="2" s="1"/>
  <c r="T428" i="2" s="1"/>
  <c r="T429" i="2" s="1"/>
  <c r="T430" i="2" s="1"/>
  <c r="T431" i="2" s="1"/>
  <c r="T432" i="2" s="1"/>
  <c r="T433" i="2" s="1"/>
  <c r="T434" i="2" s="1"/>
  <c r="T435" i="2" s="1"/>
  <c r="T436" i="2" s="1"/>
  <c r="T437" i="2" s="1"/>
  <c r="T438" i="2" s="1"/>
  <c r="T439" i="2" s="1"/>
  <c r="T440" i="2" s="1"/>
  <c r="T441" i="2" s="1"/>
  <c r="T442" i="2" s="1"/>
  <c r="T443" i="2" s="1"/>
  <c r="T444" i="2" s="1"/>
  <c r="T445" i="2" s="1"/>
  <c r="T446" i="2" s="1"/>
  <c r="T447" i="2" s="1"/>
  <c r="T448" i="2" s="1"/>
  <c r="T449" i="2" s="1"/>
  <c r="T450" i="2" s="1"/>
  <c r="T451" i="2" s="1"/>
  <c r="T452" i="2" s="1"/>
  <c r="T453" i="2" s="1"/>
  <c r="T454" i="2" s="1"/>
  <c r="T455" i="2" s="1"/>
  <c r="T456" i="2" s="1"/>
  <c r="T457" i="2" s="1"/>
  <c r="T458" i="2" s="1"/>
  <c r="T459" i="2" s="1"/>
  <c r="T460" i="2" s="1"/>
  <c r="T461" i="2" s="1"/>
  <c r="T462" i="2" s="1"/>
  <c r="T463" i="2" s="1"/>
  <c r="T464" i="2" s="1"/>
  <c r="T465" i="2" s="1"/>
  <c r="T466" i="2" s="1"/>
  <c r="T467" i="2" s="1"/>
  <c r="T468" i="2" s="1"/>
  <c r="T469" i="2" s="1"/>
  <c r="T470" i="2" s="1"/>
  <c r="T471" i="2" s="1"/>
  <c r="T472" i="2" s="1"/>
  <c r="T473" i="2" s="1"/>
  <c r="T474" i="2" s="1"/>
  <c r="T475" i="2" s="1"/>
  <c r="T476" i="2" s="1"/>
  <c r="T477" i="2" s="1"/>
  <c r="T478" i="2" s="1"/>
  <c r="T479" i="2" s="1"/>
  <c r="T480" i="2" s="1"/>
  <c r="T481" i="2" s="1"/>
  <c r="T482" i="2" s="1"/>
  <c r="T483" i="2" s="1"/>
  <c r="T484" i="2" s="1"/>
  <c r="T485" i="2" s="1"/>
  <c r="T486" i="2" s="1"/>
  <c r="T487" i="2" s="1"/>
  <c r="T488" i="2" s="1"/>
  <c r="T489" i="2" s="1"/>
  <c r="T490" i="2" s="1"/>
  <c r="T491" i="2" s="1"/>
  <c r="T492" i="2" s="1"/>
  <c r="T493" i="2" s="1"/>
  <c r="T494" i="2" s="1"/>
  <c r="T495" i="2" s="1"/>
  <c r="T496" i="2" s="1"/>
  <c r="T497" i="2" s="1"/>
  <c r="T498" i="2" s="1"/>
  <c r="T499" i="2" s="1"/>
  <c r="T500" i="2" s="1"/>
  <c r="T501" i="2" s="1"/>
  <c r="T502" i="2" s="1"/>
  <c r="T503" i="2" s="1"/>
  <c r="T504" i="2" s="1"/>
  <c r="T505" i="2" s="1"/>
  <c r="T506" i="2" s="1"/>
  <c r="T507" i="2" s="1"/>
  <c r="T508" i="2" s="1"/>
  <c r="T509" i="2" s="1"/>
  <c r="T510" i="2" s="1"/>
  <c r="T511" i="2" s="1"/>
  <c r="T512" i="2" s="1"/>
  <c r="T513" i="2" s="1"/>
  <c r="T514" i="2" s="1"/>
  <c r="T515" i="2" s="1"/>
  <c r="T516" i="2" s="1"/>
  <c r="T517" i="2" s="1"/>
  <c r="T518" i="2" s="1"/>
  <c r="T519" i="2" s="1"/>
  <c r="T520" i="2" s="1"/>
  <c r="T521" i="2" s="1"/>
  <c r="T522" i="2" s="1"/>
  <c r="T523" i="2" s="1"/>
  <c r="T524" i="2" s="1"/>
  <c r="T525" i="2" s="1"/>
  <c r="T526" i="2" s="1"/>
  <c r="T527" i="2" s="1"/>
  <c r="T528" i="2" s="1"/>
  <c r="T529" i="2" s="1"/>
  <c r="T530" i="2" s="1"/>
  <c r="T531" i="2" s="1"/>
  <c r="T532" i="2" s="1"/>
  <c r="T533" i="2" s="1"/>
  <c r="T534" i="2" s="1"/>
  <c r="T535" i="2" s="1"/>
  <c r="T536" i="2" s="1"/>
  <c r="T537" i="2" s="1"/>
  <c r="T538" i="2" s="1"/>
  <c r="T539" i="2" s="1"/>
  <c r="T540" i="2" s="1"/>
  <c r="T541" i="2" s="1"/>
  <c r="T542" i="2" s="1"/>
  <c r="T543" i="2" s="1"/>
  <c r="T544" i="2" s="1"/>
  <c r="T545" i="2" s="1"/>
  <c r="T546" i="2" s="1"/>
  <c r="T547" i="2" s="1"/>
  <c r="T548" i="2" s="1"/>
  <c r="T549" i="2" s="1"/>
  <c r="T550" i="2" s="1"/>
  <c r="T551" i="2" s="1"/>
  <c r="T552" i="2" s="1"/>
  <c r="T553" i="2" s="1"/>
  <c r="T554" i="2" s="1"/>
  <c r="T555" i="2" s="1"/>
  <c r="T556" i="2" s="1"/>
  <c r="T557" i="2" s="1"/>
  <c r="T558" i="2" s="1"/>
  <c r="T559" i="2" s="1"/>
  <c r="T560" i="2" s="1"/>
  <c r="T561" i="2" s="1"/>
  <c r="T562" i="2" s="1"/>
  <c r="T563" i="2" s="1"/>
  <c r="T564" i="2" s="1"/>
  <c r="T565" i="2" s="1"/>
  <c r="T566" i="2" s="1"/>
  <c r="T567" i="2" s="1"/>
  <c r="T568" i="2" s="1"/>
  <c r="T569" i="2" s="1"/>
  <c r="T570" i="2" s="1"/>
  <c r="T571" i="2" s="1"/>
  <c r="T572" i="2" s="1"/>
  <c r="T573" i="2" s="1"/>
  <c r="T574" i="2" s="1"/>
  <c r="T575" i="2" s="1"/>
  <c r="T576" i="2" s="1"/>
  <c r="T577" i="2" s="1"/>
  <c r="T578" i="2" s="1"/>
  <c r="T579" i="2" s="1"/>
  <c r="T580" i="2" s="1"/>
  <c r="T581" i="2" s="1"/>
  <c r="T582" i="2" s="1"/>
  <c r="T583" i="2" s="1"/>
  <c r="T584" i="2" s="1"/>
  <c r="T585" i="2" s="1"/>
  <c r="T586" i="2" s="1"/>
  <c r="T587" i="2" s="1"/>
  <c r="T588" i="2" s="1"/>
  <c r="T589" i="2" s="1"/>
  <c r="T590" i="2" s="1"/>
  <c r="T591" i="2" s="1"/>
  <c r="T592" i="2" s="1"/>
  <c r="T593" i="2" s="1"/>
  <c r="T594" i="2" s="1"/>
  <c r="T595" i="2" s="1"/>
  <c r="T596" i="2" s="1"/>
  <c r="T597" i="2" s="1"/>
  <c r="T598" i="2" s="1"/>
  <c r="T599" i="2" s="1"/>
  <c r="T600" i="2" s="1"/>
  <c r="T601" i="2" s="1"/>
  <c r="T602" i="2" s="1"/>
  <c r="T603" i="2" s="1"/>
  <c r="T604" i="2" s="1"/>
  <c r="T605" i="2" s="1"/>
  <c r="T606" i="2" s="1"/>
  <c r="T607" i="2" s="1"/>
  <c r="T608" i="2" s="1"/>
  <c r="T609" i="2" s="1"/>
  <c r="T610" i="2" s="1"/>
  <c r="T611" i="2" s="1"/>
  <c r="T612" i="2" s="1"/>
  <c r="T613" i="2" s="1"/>
  <c r="T614" i="2" s="1"/>
  <c r="T615" i="2" s="1"/>
  <c r="T616" i="2" s="1"/>
  <c r="T617" i="2" s="1"/>
  <c r="T618" i="2" s="1"/>
  <c r="T619" i="2" s="1"/>
  <c r="T620" i="2" s="1"/>
  <c r="T621" i="2" s="1"/>
  <c r="T622" i="2" s="1"/>
  <c r="T623" i="2" s="1"/>
  <c r="T624" i="2" s="1"/>
  <c r="T625" i="2" s="1"/>
  <c r="T626" i="2" s="1"/>
  <c r="T627" i="2" s="1"/>
  <c r="T628" i="2" s="1"/>
  <c r="T629" i="2" s="1"/>
  <c r="T630" i="2" s="1"/>
  <c r="T631" i="2" s="1"/>
  <c r="T632" i="2" s="1"/>
  <c r="T633" i="2" s="1"/>
  <c r="T634" i="2" s="1"/>
  <c r="T635" i="2" s="1"/>
  <c r="T636" i="2" s="1"/>
  <c r="T637" i="2" s="1"/>
  <c r="T638" i="2" s="1"/>
  <c r="T639" i="2" s="1"/>
  <c r="T640" i="2" s="1"/>
  <c r="J3" i="2"/>
  <c r="J4" i="2" s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J368" i="2" s="1"/>
  <c r="J369" i="2" s="1"/>
  <c r="J370" i="2" s="1"/>
  <c r="J371" i="2" s="1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J385" i="2" s="1"/>
  <c r="J386" i="2" s="1"/>
  <c r="J387" i="2" s="1"/>
  <c r="J388" i="2" s="1"/>
  <c r="J389" i="2" s="1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J424" i="2" s="1"/>
  <c r="J425" i="2" s="1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J450" i="2" s="1"/>
  <c r="J451" i="2" s="1"/>
  <c r="J452" i="2" s="1"/>
  <c r="J453" i="2" s="1"/>
  <c r="J454" i="2" s="1"/>
  <c r="J455" i="2" s="1"/>
  <c r="J456" i="2" s="1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J480" i="2" s="1"/>
  <c r="J481" i="2" s="1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J506" i="2" s="1"/>
  <c r="J507" i="2" s="1"/>
  <c r="J508" i="2" s="1"/>
  <c r="J509" i="2" s="1"/>
  <c r="J510" i="2" s="1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J544" i="2" s="1"/>
  <c r="J545" i="2" s="1"/>
  <c r="J546" i="2" s="1"/>
  <c r="J547" i="2" s="1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J598" i="2" s="1"/>
  <c r="J599" i="2" s="1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J619" i="2" s="1"/>
  <c r="J620" i="2" s="1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J637" i="2" s="1"/>
  <c r="J638" i="2" s="1"/>
  <c r="J639" i="2" s="1"/>
  <c r="J640" i="2" s="1"/>
  <c r="H3" i="2"/>
  <c r="H4" i="2" s="1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28" i="2" s="1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60" i="2" s="1"/>
  <c r="H61" i="2" s="1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H74" i="2" s="1"/>
  <c r="H75" i="2" s="1"/>
  <c r="H76" i="2" s="1"/>
  <c r="H77" i="2" s="1"/>
  <c r="H78" i="2" s="1"/>
  <c r="H79" i="2" s="1"/>
  <c r="H80" i="2" s="1"/>
  <c r="H81" i="2" s="1"/>
  <c r="H82" i="2" s="1"/>
  <c r="H83" i="2" s="1"/>
  <c r="H84" i="2" s="1"/>
  <c r="H85" i="2" s="1"/>
  <c r="H86" i="2" s="1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H117" i="2" s="1"/>
  <c r="H118" i="2" s="1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H148" i="2" s="1"/>
  <c r="H149" i="2" s="1"/>
  <c r="H150" i="2" s="1"/>
  <c r="H151" i="2" s="1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H184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H196" i="2" s="1"/>
  <c r="H197" i="2" s="1"/>
  <c r="H198" i="2" s="1"/>
  <c r="H199" i="2" s="1"/>
  <c r="H200" i="2" s="1"/>
  <c r="H201" i="2" s="1"/>
  <c r="H202" i="2" s="1"/>
  <c r="H203" i="2" s="1"/>
  <c r="H204" i="2" s="1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H256" i="2" s="1"/>
  <c r="H257" i="2" s="1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H283" i="2" s="1"/>
  <c r="H284" i="2" s="1"/>
  <c r="H285" i="2" s="1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H364" i="2" s="1"/>
  <c r="H365" i="2" s="1"/>
  <c r="H366" i="2" s="1"/>
  <c r="H367" i="2" s="1"/>
  <c r="H368" i="2" s="1"/>
  <c r="H369" i="2" s="1"/>
  <c r="H370" i="2" s="1"/>
  <c r="H371" i="2" s="1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H431" i="2" s="1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H450" i="2" s="1"/>
  <c r="H451" i="2" s="1"/>
  <c r="H452" i="2" s="1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H506" i="2" s="1"/>
  <c r="H507" i="2" s="1"/>
  <c r="H508" i="2" s="1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H598" i="2" s="1"/>
  <c r="H599" i="2" s="1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H619" i="2" s="1"/>
  <c r="H620" i="2" s="1"/>
  <c r="H621" i="2" s="1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</calcChain>
</file>

<file path=xl/sharedStrings.xml><?xml version="1.0" encoding="utf-8"?>
<sst xmlns="http://schemas.openxmlformats.org/spreadsheetml/2006/main" count="988" uniqueCount="977">
  <si>
    <t>shape</t>
  </si>
  <si>
    <t>Qw</t>
  </si>
  <si>
    <t>W44X408</t>
  </si>
  <si>
    <t>W44X368</t>
  </si>
  <si>
    <t>W44X335</t>
  </si>
  <si>
    <t>W44X290</t>
  </si>
  <si>
    <t>W44X262</t>
  </si>
  <si>
    <t>W44X230</t>
  </si>
  <si>
    <t>W40X655</t>
  </si>
  <si>
    <t>W40X593</t>
  </si>
  <si>
    <t>W40X503</t>
  </si>
  <si>
    <t>W40X431</t>
  </si>
  <si>
    <t>W40X397</t>
  </si>
  <si>
    <t>W40X372</t>
  </si>
  <si>
    <t>W40X362</t>
  </si>
  <si>
    <t>W40X324</t>
  </si>
  <si>
    <t>W40X297</t>
  </si>
  <si>
    <t>W40X277</t>
  </si>
  <si>
    <t>W40X249</t>
  </si>
  <si>
    <t>W40X215</t>
  </si>
  <si>
    <t>W40X199</t>
  </si>
  <si>
    <t>W40X392</t>
  </si>
  <si>
    <t>W40X331</t>
  </si>
  <si>
    <t>W40X327</t>
  </si>
  <si>
    <t>W40X294</t>
  </si>
  <si>
    <t>W40X278</t>
  </si>
  <si>
    <t>W40X264</t>
  </si>
  <si>
    <t>W40X235</t>
  </si>
  <si>
    <t>W40X211</t>
  </si>
  <si>
    <t>W40X183</t>
  </si>
  <si>
    <t>W40X167</t>
  </si>
  <si>
    <t>W40X149</t>
  </si>
  <si>
    <t>W36X925</t>
  </si>
  <si>
    <t>W36X853</t>
  </si>
  <si>
    <t>W36X802</t>
  </si>
  <si>
    <t>W36X723</t>
  </si>
  <si>
    <t>W36X652</t>
  </si>
  <si>
    <t>W36X529</t>
  </si>
  <si>
    <t>W36X487</t>
  </si>
  <si>
    <t>W36X441</t>
  </si>
  <si>
    <t>W36X395</t>
  </si>
  <si>
    <t>W36X361</t>
  </si>
  <si>
    <t>W36X330</t>
  </si>
  <si>
    <t>W36X302</t>
  </si>
  <si>
    <t>W36X282</t>
  </si>
  <si>
    <t>W36X262</t>
  </si>
  <si>
    <t>W36X247</t>
  </si>
  <si>
    <t>W36X231</t>
  </si>
  <si>
    <t>W36X387</t>
  </si>
  <si>
    <t>W36X350</t>
  </si>
  <si>
    <t>W36X318</t>
  </si>
  <si>
    <t>W36X286</t>
  </si>
  <si>
    <t>W36X256</t>
  </si>
  <si>
    <t>W36X232</t>
  </si>
  <si>
    <t>W36X210</t>
  </si>
  <si>
    <t>W36X194</t>
  </si>
  <si>
    <t>W36X182</t>
  </si>
  <si>
    <t>W36X170</t>
  </si>
  <si>
    <t>W36X160</t>
  </si>
  <si>
    <t>W36X150</t>
  </si>
  <si>
    <t>W36X135</t>
  </si>
  <si>
    <t>W33X387</t>
  </si>
  <si>
    <t>W33X354</t>
  </si>
  <si>
    <t>W33X318</t>
  </si>
  <si>
    <t>W33X291</t>
  </si>
  <si>
    <t>W33X263</t>
  </si>
  <si>
    <t>W33X241</t>
  </si>
  <si>
    <t>W33X221</t>
  </si>
  <si>
    <t>W33X201</t>
  </si>
  <si>
    <t>W33X169</t>
  </si>
  <si>
    <t>W33X152</t>
  </si>
  <si>
    <t>W33X141</t>
  </si>
  <si>
    <t>W33X130</t>
  </si>
  <si>
    <t>W33X118</t>
  </si>
  <si>
    <t>W30X391</t>
  </si>
  <si>
    <t>W30X357</t>
  </si>
  <si>
    <t>W30X326</t>
  </si>
  <si>
    <t>W30X292</t>
  </si>
  <si>
    <t>W30X261</t>
  </si>
  <si>
    <t>W30X235</t>
  </si>
  <si>
    <t>W30X211</t>
  </si>
  <si>
    <t>W30X191</t>
  </si>
  <si>
    <t>W30X173</t>
  </si>
  <si>
    <t>W30X148</t>
  </si>
  <si>
    <t>W30X132</t>
  </si>
  <si>
    <t>W30X124</t>
  </si>
  <si>
    <t>W30X116</t>
  </si>
  <si>
    <t>W30X108</t>
  </si>
  <si>
    <t>W30X99</t>
  </si>
  <si>
    <t>W30X90</t>
  </si>
  <si>
    <t>W27X539</t>
  </si>
  <si>
    <t>W27X368</t>
  </si>
  <si>
    <t>W27X336</t>
  </si>
  <si>
    <t>W27X307</t>
  </si>
  <si>
    <t>W27X281</t>
  </si>
  <si>
    <t>W27X258</t>
  </si>
  <si>
    <t>W27X235</t>
  </si>
  <si>
    <t>W27X217</t>
  </si>
  <si>
    <t>W27X194</t>
  </si>
  <si>
    <t>W27X178</t>
  </si>
  <si>
    <t>W27X161</t>
  </si>
  <si>
    <t>W27X146</t>
  </si>
  <si>
    <t>W27X129</t>
  </si>
  <si>
    <t>W27X114</t>
  </si>
  <si>
    <t>W27X102</t>
  </si>
  <si>
    <t>W27X94</t>
  </si>
  <si>
    <t>W27X84</t>
  </si>
  <si>
    <t>W24X370</t>
  </si>
  <si>
    <t>W24X335</t>
  </si>
  <si>
    <t>W24X306</t>
  </si>
  <si>
    <t>W24X279</t>
  </si>
  <si>
    <t>W24X250</t>
  </si>
  <si>
    <t>W24X229</t>
  </si>
  <si>
    <t>W24X207</t>
  </si>
  <si>
    <t>W24X192</t>
  </si>
  <si>
    <t>W24X176</t>
  </si>
  <si>
    <t>W24X162</t>
  </si>
  <si>
    <t>W24X146</t>
  </si>
  <si>
    <t>W24X131</t>
  </si>
  <si>
    <t>W24X117</t>
  </si>
  <si>
    <t>W24X104</t>
  </si>
  <si>
    <t>W24X103</t>
  </si>
  <si>
    <t>W24X94</t>
  </si>
  <si>
    <t>W24X84</t>
  </si>
  <si>
    <t>W24X76</t>
  </si>
  <si>
    <t>W24X68</t>
  </si>
  <si>
    <t>W24X62</t>
  </si>
  <si>
    <t>W24X55</t>
  </si>
  <si>
    <t>W21X275</t>
  </si>
  <si>
    <t>W21X248</t>
  </si>
  <si>
    <t>W21X223</t>
  </si>
  <si>
    <t>W21X201</t>
  </si>
  <si>
    <t>W21X182</t>
  </si>
  <si>
    <t>W21X166</t>
  </si>
  <si>
    <t>W21X147</t>
  </si>
  <si>
    <t>W21X132</t>
  </si>
  <si>
    <t>W21X122</t>
  </si>
  <si>
    <t>W21X111</t>
  </si>
  <si>
    <t>W21X101</t>
  </si>
  <si>
    <t>W21X93</t>
  </si>
  <si>
    <t>W21X83</t>
  </si>
  <si>
    <t>W21X73</t>
  </si>
  <si>
    <t>W21X68</t>
  </si>
  <si>
    <t>W21X62</t>
  </si>
  <si>
    <t>W21X55</t>
  </si>
  <si>
    <t>W21X48</t>
  </si>
  <si>
    <t>W21X57</t>
  </si>
  <si>
    <t>W21X50</t>
  </si>
  <si>
    <t>W21X44</t>
  </si>
  <si>
    <t>W18X311</t>
  </si>
  <si>
    <t>W18X283</t>
  </si>
  <si>
    <t>W18X258</t>
  </si>
  <si>
    <t>W18X234</t>
  </si>
  <si>
    <t>W18X211</t>
  </si>
  <si>
    <t>W18X192</t>
  </si>
  <si>
    <t>W18X175</t>
  </si>
  <si>
    <t>W18X158</t>
  </si>
  <si>
    <t>W18X143</t>
  </si>
  <si>
    <t>W18X130</t>
  </si>
  <si>
    <t>W18X119</t>
  </si>
  <si>
    <t>W18X106</t>
  </si>
  <si>
    <t>W18X97</t>
  </si>
  <si>
    <t>W18X86</t>
  </si>
  <si>
    <t>W18X76</t>
  </si>
  <si>
    <t>W18X71</t>
  </si>
  <si>
    <t>W18X65</t>
  </si>
  <si>
    <t>W18X60</t>
  </si>
  <si>
    <t>W18X55</t>
  </si>
  <si>
    <t>W18X50</t>
  </si>
  <si>
    <t>W18X46</t>
  </si>
  <si>
    <t>W18X40</t>
  </si>
  <si>
    <t>W18X35</t>
  </si>
  <si>
    <t>W16X100</t>
  </si>
  <si>
    <t>W16X89</t>
  </si>
  <si>
    <t>W16X77</t>
  </si>
  <si>
    <t>W16X67</t>
  </si>
  <si>
    <t>W16X57</t>
  </si>
  <si>
    <t>W16X50</t>
  </si>
  <si>
    <t>W16X45</t>
  </si>
  <si>
    <t>W16X40</t>
  </si>
  <si>
    <t>W16X36</t>
  </si>
  <si>
    <t>W16X31</t>
  </si>
  <si>
    <t>W16X26</t>
  </si>
  <si>
    <t>W14X873</t>
  </si>
  <si>
    <t>W14X808</t>
  </si>
  <si>
    <t>W14X730</t>
  </si>
  <si>
    <t>W14X665</t>
  </si>
  <si>
    <t>W14X605</t>
  </si>
  <si>
    <t>W14X550</t>
  </si>
  <si>
    <t>W14X500</t>
  </si>
  <si>
    <t>W14X455</t>
  </si>
  <si>
    <t>W14X426</t>
  </si>
  <si>
    <t>W14X398</t>
  </si>
  <si>
    <t>W14X370</t>
  </si>
  <si>
    <t>W14X342</t>
  </si>
  <si>
    <t>W14X311</t>
  </si>
  <si>
    <t>W14X283</t>
  </si>
  <si>
    <t>W14X257</t>
  </si>
  <si>
    <t>W14X233</t>
  </si>
  <si>
    <t>W14X211</t>
  </si>
  <si>
    <t>W14X193</t>
  </si>
  <si>
    <t>W14X176</t>
  </si>
  <si>
    <t>W14X159</t>
  </si>
  <si>
    <t>W14X145</t>
  </si>
  <si>
    <t>W14X132</t>
  </si>
  <si>
    <t>W14X120</t>
  </si>
  <si>
    <t>W14X109</t>
  </si>
  <si>
    <t>W14X99</t>
  </si>
  <si>
    <t>W14X90</t>
  </si>
  <si>
    <t>W14X82</t>
  </si>
  <si>
    <t>W14X74</t>
  </si>
  <si>
    <t>W14X68</t>
  </si>
  <si>
    <t>W14X61</t>
  </si>
  <si>
    <t>W14X53</t>
  </si>
  <si>
    <t>W14X48</t>
  </si>
  <si>
    <t>W14X43</t>
  </si>
  <si>
    <t>W14X38</t>
  </si>
  <si>
    <t>W14X34</t>
  </si>
  <si>
    <t>W14X30</t>
  </si>
  <si>
    <t>W14X26</t>
  </si>
  <si>
    <t>W14X22</t>
  </si>
  <si>
    <t>W12X336</t>
  </si>
  <si>
    <t>W12X305</t>
  </si>
  <si>
    <t>W12X279</t>
  </si>
  <si>
    <t>W12X252</t>
  </si>
  <si>
    <t>W12X230</t>
  </si>
  <si>
    <t>W12X210</t>
  </si>
  <si>
    <t>W12X190</t>
  </si>
  <si>
    <t>W12X170</t>
  </si>
  <si>
    <t>W12X152</t>
  </si>
  <si>
    <t>W12X136</t>
  </si>
  <si>
    <t>W12X120</t>
  </si>
  <si>
    <t>W12X106</t>
  </si>
  <si>
    <t>W12X96</t>
  </si>
  <si>
    <t>W12X87</t>
  </si>
  <si>
    <t>W12X79</t>
  </si>
  <si>
    <t>W12X72</t>
  </si>
  <si>
    <t>W12X65</t>
  </si>
  <si>
    <t>W12X58</t>
  </si>
  <si>
    <t>W12X53</t>
  </si>
  <si>
    <t>W12X50</t>
  </si>
  <si>
    <t>W12X45</t>
  </si>
  <si>
    <t>W12X40</t>
  </si>
  <si>
    <t>W12X35</t>
  </si>
  <si>
    <t>W12X30</t>
  </si>
  <si>
    <t>W12X26</t>
  </si>
  <si>
    <t>W12X22</t>
  </si>
  <si>
    <t>W12X19</t>
  </si>
  <si>
    <t>W12X16</t>
  </si>
  <si>
    <t>W12X14</t>
  </si>
  <si>
    <t>W10X112</t>
  </si>
  <si>
    <t>W10X100</t>
  </si>
  <si>
    <t>W10X88</t>
  </si>
  <si>
    <t>W10X77</t>
  </si>
  <si>
    <t>W10X68</t>
  </si>
  <si>
    <t>W10X60</t>
  </si>
  <si>
    <t>W10X54</t>
  </si>
  <si>
    <t>W10X49</t>
  </si>
  <si>
    <t>W10X45</t>
  </si>
  <si>
    <t>W10X39</t>
  </si>
  <si>
    <t>W10X33</t>
  </si>
  <si>
    <t>W10X30</t>
  </si>
  <si>
    <t>W10X26</t>
  </si>
  <si>
    <t>W10X22</t>
  </si>
  <si>
    <t>W10X19</t>
  </si>
  <si>
    <t>W10X17</t>
  </si>
  <si>
    <t>W10X15</t>
  </si>
  <si>
    <t>W10X12</t>
  </si>
  <si>
    <t>W8X67</t>
  </si>
  <si>
    <t>W8X58</t>
  </si>
  <si>
    <t>W8X48</t>
  </si>
  <si>
    <t>W8X40</t>
  </si>
  <si>
    <t>W8X35</t>
  </si>
  <si>
    <t>W8X31</t>
  </si>
  <si>
    <t>W8X28</t>
  </si>
  <si>
    <t>W8X24</t>
  </si>
  <si>
    <t>W8X21</t>
  </si>
  <si>
    <t>W8X18</t>
  </si>
  <si>
    <t>W8X15</t>
  </si>
  <si>
    <t>W8X13</t>
  </si>
  <si>
    <t>W8X10</t>
  </si>
  <si>
    <t>W6X25</t>
  </si>
  <si>
    <t>W6X20</t>
  </si>
  <si>
    <t>W6X15</t>
  </si>
  <si>
    <t>W6X16</t>
  </si>
  <si>
    <t>W6X12</t>
  </si>
  <si>
    <t>W6X9</t>
  </si>
  <si>
    <t>W6X8_5</t>
  </si>
  <si>
    <t>W5X19</t>
  </si>
  <si>
    <t>W5X16</t>
  </si>
  <si>
    <t>W4X13</t>
  </si>
  <si>
    <t>peso [kg/m]</t>
  </si>
  <si>
    <t>area [mm2]</t>
  </si>
  <si>
    <t>d [mm]</t>
  </si>
  <si>
    <t>bf [mm]</t>
  </si>
  <si>
    <t>tw [mm]</t>
  </si>
  <si>
    <t>tf [mm]</t>
  </si>
  <si>
    <t>k [mm]</t>
  </si>
  <si>
    <t>k1 [mm]</t>
  </si>
  <si>
    <t>Ix [mm4]</t>
  </si>
  <si>
    <t>Zx [mm3]</t>
  </si>
  <si>
    <t>Sx [mm3]</t>
  </si>
  <si>
    <t>rx [mm]</t>
  </si>
  <si>
    <t>Iy [mm4]</t>
  </si>
  <si>
    <t>Zy [mm3]</t>
  </si>
  <si>
    <t>Sy [mm3]</t>
  </si>
  <si>
    <t>ry [mm]</t>
  </si>
  <si>
    <t>J [mm4]</t>
  </si>
  <si>
    <t>Cw [mm6]</t>
  </si>
  <si>
    <t>Wno [mm2]</t>
  </si>
  <si>
    <t>Sw1 [mm4]</t>
  </si>
  <si>
    <t>Qf [mm3]</t>
  </si>
  <si>
    <t>Qw [mm3]</t>
  </si>
  <si>
    <t>rts [mm]</t>
  </si>
  <si>
    <t>ho [mm]</t>
  </si>
  <si>
    <t>PA [mm]</t>
  </si>
  <si>
    <t>PB [mm]</t>
  </si>
  <si>
    <t>PC [mm]</t>
  </si>
  <si>
    <t>PD [mm]</t>
  </si>
  <si>
    <t>T [mm]</t>
  </si>
  <si>
    <t>WGi [mm]</t>
  </si>
  <si>
    <t>WGo [mm]</t>
  </si>
  <si>
    <t>yp</t>
  </si>
  <si>
    <t>Zx</t>
  </si>
  <si>
    <t>Sx</t>
  </si>
  <si>
    <t>H</t>
  </si>
  <si>
    <t>DBL_L12X12X1_3_8</t>
  </si>
  <si>
    <t>DBL_L12X12X1_3_8X3_4</t>
  </si>
  <si>
    <t>DBL_L12X12X1_3_8X1_1_2</t>
  </si>
  <si>
    <t>DBL_L12X12X1_1_4</t>
  </si>
  <si>
    <t>DBL_L12X12X1_1_4X3_4</t>
  </si>
  <si>
    <t>DBL_L12X12X1_1_4X1_1_2</t>
  </si>
  <si>
    <t>DBL_L12X12X1_1_8</t>
  </si>
  <si>
    <t>DBL_L12X12X1_1_8X3_4</t>
  </si>
  <si>
    <t>DBL_L12X12X1_1_8X1_1_2</t>
  </si>
  <si>
    <t>DBL_L12X12X1</t>
  </si>
  <si>
    <t>DBL_L12X12X1X3_4</t>
  </si>
  <si>
    <t>DBL_L12X12X1X1_1_2</t>
  </si>
  <si>
    <t>DBL_L10X10X1_3_8</t>
  </si>
  <si>
    <t>DBL_L10X10X1_3_8X3_4</t>
  </si>
  <si>
    <t>DBL_L10X10X1_3_8X1_1_2</t>
  </si>
  <si>
    <t>DBL_L10X10X1_1_4</t>
  </si>
  <si>
    <t>DBL_L10X10X1_1_4X3_4</t>
  </si>
  <si>
    <t>DBL_L10X10X1_1_4X1_1_2</t>
  </si>
  <si>
    <t>DBL_L10X10X1_1_8</t>
  </si>
  <si>
    <t>DBL_L10X10X1_1_8X3_4</t>
  </si>
  <si>
    <t>DBL_L10X10X1_1_8X1_1_2</t>
  </si>
  <si>
    <t>DBL_L10X10X1</t>
  </si>
  <si>
    <t>DBL_L10X10X1X3_4</t>
  </si>
  <si>
    <t>DBL_L10X10X1X1_1_2</t>
  </si>
  <si>
    <t>DBL_L10X10X7_8</t>
  </si>
  <si>
    <t>DBL_L10X10X7_8X3_4</t>
  </si>
  <si>
    <t>DBL_L10X10X7_8X1_1_2</t>
  </si>
  <si>
    <t>DBL_L10X10X3_4</t>
  </si>
  <si>
    <t>DBL_L10X10X3_4X3_4</t>
  </si>
  <si>
    <t>DBL_L10X10X3_4X1_1_2</t>
  </si>
  <si>
    <t>DBL_L8X8X1_1_8</t>
  </si>
  <si>
    <t>DBL_L8X8X1_1_8X3_8</t>
  </si>
  <si>
    <t>DBL_L8X8X1_1_8X3_4</t>
  </si>
  <si>
    <t>DBL_L8X8X1</t>
  </si>
  <si>
    <t>DBL_L8X8X1X3_8</t>
  </si>
  <si>
    <t>DBL_L8X8X1X3_4</t>
  </si>
  <si>
    <t>DBL_L8X8X7_8</t>
  </si>
  <si>
    <t>DBL_L8X8X7_8X3_8</t>
  </si>
  <si>
    <t>DBL_L8X8X7_8X3_4</t>
  </si>
  <si>
    <t>DBL_L8X8X3_4</t>
  </si>
  <si>
    <t>DBL_L8X8X3_4X3_8</t>
  </si>
  <si>
    <t>DBL_L8X8X3_4X3_4</t>
  </si>
  <si>
    <t>DBL_L8X8X5_8</t>
  </si>
  <si>
    <t>DBL_L8X8X5_8X3_8</t>
  </si>
  <si>
    <t>DBL_L8X8X5_8X3_4</t>
  </si>
  <si>
    <t>DBL_L8X8X9_16</t>
  </si>
  <si>
    <t>DBL_L8X8X9_16X3_8</t>
  </si>
  <si>
    <t>DBL_L8X8X9_16X3_4</t>
  </si>
  <si>
    <t>DBL_L8X8X1_2</t>
  </si>
  <si>
    <t>DBL_L8X8X1_2X3_8</t>
  </si>
  <si>
    <t>DBL_L8X8X1_2X3_4</t>
  </si>
  <si>
    <t>DBL_L6X6X1</t>
  </si>
  <si>
    <t>DBL_L6X6X1X3_8</t>
  </si>
  <si>
    <t>DBL_L6X6X1X3_4</t>
  </si>
  <si>
    <t>DBL_L6X6X7_8</t>
  </si>
  <si>
    <t>DBL_L6X6X7_8X3_8</t>
  </si>
  <si>
    <t>DBL_L6X6X7_8X3_4</t>
  </si>
  <si>
    <t>DBL_L6X6X3_4</t>
  </si>
  <si>
    <t>DBL_L6X6X3_4X3_8</t>
  </si>
  <si>
    <t>DBL_L6X6X3_4X3_4</t>
  </si>
  <si>
    <t>DBL_L6X6X5_8</t>
  </si>
  <si>
    <t>DBL_L6X6X5_8X3_8</t>
  </si>
  <si>
    <t>DBL_L6X6X5_8X3_4</t>
  </si>
  <si>
    <t>DBL_L6X6X9_16</t>
  </si>
  <si>
    <t>DBL_L6X6X9_16X3_8</t>
  </si>
  <si>
    <t>DBL_L6X6X9_16X3_4</t>
  </si>
  <si>
    <t>DBL_L6X6X1_2</t>
  </si>
  <si>
    <t>DBL_L6X6X1_2X3_8</t>
  </si>
  <si>
    <t>DBL_L6X6X1_2X3_4</t>
  </si>
  <si>
    <t>DBL_L6X6X7_16</t>
  </si>
  <si>
    <t>DBL_L6X6X7_16X3_8</t>
  </si>
  <si>
    <t>DBL_L6X6X7_16X3_4</t>
  </si>
  <si>
    <t>DBL_L6X6X3_8</t>
  </si>
  <si>
    <t>DBL_L6X6X3_8X3_8</t>
  </si>
  <si>
    <t>DBL_L6X6X3_8X3_4</t>
  </si>
  <si>
    <t>DBL_L6X6X5_16</t>
  </si>
  <si>
    <t>DBL_L6X6X5_16X3_8</t>
  </si>
  <si>
    <t>DBL_L6X6X5_16X3_4</t>
  </si>
  <si>
    <t>DBL_L5X5X7_8</t>
  </si>
  <si>
    <t>DBL_L5X5X7_8X3_8</t>
  </si>
  <si>
    <t>DBL_L5X5X7_8X3_4</t>
  </si>
  <si>
    <t>DBL_L5X5X3_4</t>
  </si>
  <si>
    <t>DBL_L5X5X3_4X3_8</t>
  </si>
  <si>
    <t>DBL_L5X5X3_4X3_4</t>
  </si>
  <si>
    <t>DBL_L5X5X5_8</t>
  </si>
  <si>
    <t>DBL_L5X5X5_8X3_8</t>
  </si>
  <si>
    <t>DBL_L5X5X5_8X3_4</t>
  </si>
  <si>
    <t>DBL_L5X5X1_2</t>
  </si>
  <si>
    <t>DBL_L5X5X1_2X3_8</t>
  </si>
  <si>
    <t>DBL_L5X5X1_2X3_4</t>
  </si>
  <si>
    <t>DBL_L5X5X7_16</t>
  </si>
  <si>
    <t>DBL_L5X5X7_16X3_8</t>
  </si>
  <si>
    <t>DBL_L5X5X7_16X3_4</t>
  </si>
  <si>
    <t>DBL_L5X5X3_8</t>
  </si>
  <si>
    <t>DBL_L5X5X3_8X3_8</t>
  </si>
  <si>
    <t>DBL_L5X5X3_8X3_4</t>
  </si>
  <si>
    <t>DBL_L5X5X5_16</t>
  </si>
  <si>
    <t>DBL_L5X5X5_16X3_8</t>
  </si>
  <si>
    <t>DBL_L5X5X5_16X3_4</t>
  </si>
  <si>
    <t>DBL_L4X4X3_4</t>
  </si>
  <si>
    <t>DBL_L4X4X3_4X3_8</t>
  </si>
  <si>
    <t>DBL_L4X4X3_4X3_4</t>
  </si>
  <si>
    <t>DBL_L4X4X5_8</t>
  </si>
  <si>
    <t>DBL_L4X4X5_8X3_8</t>
  </si>
  <si>
    <t>DBL_L4X4X5_8X3_4</t>
  </si>
  <si>
    <t>DBL_L4X4X1_2</t>
  </si>
  <si>
    <t>DBL_L4X4X1_2X3_8</t>
  </si>
  <si>
    <t>DBL_L4X4X1_2X3_4</t>
  </si>
  <si>
    <t>DBL_L4X4X7_16</t>
  </si>
  <si>
    <t>DBL_L4X4X7_16X3_8</t>
  </si>
  <si>
    <t>DBL_L4X4X7_16X3_4</t>
  </si>
  <si>
    <t>DBL_L4X4X3_8</t>
  </si>
  <si>
    <t>DBL_L4X4X3_8X3_8</t>
  </si>
  <si>
    <t>DBL_L4X4X3_8X3_4</t>
  </si>
  <si>
    <t>DBL_L4X4X5_16</t>
  </si>
  <si>
    <t>DBL_L4X4X5_16X3_8</t>
  </si>
  <si>
    <t>DBL_L4X4X5_16X3_4</t>
  </si>
  <si>
    <t>DBL_L4X4X1_4</t>
  </si>
  <si>
    <t>DBL_L4X4X1_4X3_8</t>
  </si>
  <si>
    <t>DBL_L4X4X1_4X3_4</t>
  </si>
  <si>
    <t>DBL_L3_1_2X3_1_2X1_2</t>
  </si>
  <si>
    <t>DBL_L3_1_2X3_1_2X1_2X3_8</t>
  </si>
  <si>
    <t>DBL_L3_1_2X3_1_2X1_2X3_4</t>
  </si>
  <si>
    <t>DBL_L3_1_2X3_1_2X7_16</t>
  </si>
  <si>
    <t>DBL_L3_1_2X3_1_2X7_16X3_8</t>
  </si>
  <si>
    <t>DBL_L3_1_2X3_1_2X7_16X3_4</t>
  </si>
  <si>
    <t>DBL_L3_1_2X3_1_2X3_8</t>
  </si>
  <si>
    <t>DBL_L3_1_2X3_1_2X3_8X3_8</t>
  </si>
  <si>
    <t>DBL_L3_1_2X3_1_2X3_8X3_4</t>
  </si>
  <si>
    <t>DBL_L3_1_2X3_1_2X5_16</t>
  </si>
  <si>
    <t>DBL_L3_1_2X3_1_2X5_16X3_8</t>
  </si>
  <si>
    <t>DBL_L3_1_2X3_1_2X5_16X3_4</t>
  </si>
  <si>
    <t>DBL_L3_1_2X3_1_2X1_4</t>
  </si>
  <si>
    <t>DBL_L3_1_2X3_1_2X1_4X3_8</t>
  </si>
  <si>
    <t>DBL_L3_1_2X3_1_2X1_4X3_4</t>
  </si>
  <si>
    <t>DBL_L3X3X1_2</t>
  </si>
  <si>
    <t>DBL_L3X3X1_2X3_8</t>
  </si>
  <si>
    <t>DBL_L3X3X1_2X3_4</t>
  </si>
  <si>
    <t>DBL_L3X3X7_16</t>
  </si>
  <si>
    <t>DBL_L3X3X7_16X3_8</t>
  </si>
  <si>
    <t>DBL_L3X3X7_16X3_4</t>
  </si>
  <si>
    <t>DBL_L3X3X3_8</t>
  </si>
  <si>
    <t>DBL_L3X3X3_8X3_8</t>
  </si>
  <si>
    <t>DBL_L3X3X3_8X3_4</t>
  </si>
  <si>
    <t>DBL_L3X3X5_16</t>
  </si>
  <si>
    <t>DBL_L3X3X5_16X3_8</t>
  </si>
  <si>
    <t>DBL_L3X3X5_16X3_4</t>
  </si>
  <si>
    <t>DBL_L3X3X1_4</t>
  </si>
  <si>
    <t>DBL_L3X3X1_4X3_8</t>
  </si>
  <si>
    <t>DBL_L3X3X1_4X3_4</t>
  </si>
  <si>
    <t>DBL_L3X3X3_16</t>
  </si>
  <si>
    <t>DBL_L3X3X3_16X3_8</t>
  </si>
  <si>
    <t>DBL_L3X3X3_16X3_4</t>
  </si>
  <si>
    <t>DBL_L2_1_2X2_1_2X1_2</t>
  </si>
  <si>
    <t>DBL_L2_1_2X2_1_2X1_2X3_8</t>
  </si>
  <si>
    <t>DBL_L2_1_2X2_1_2X1_2X3_4</t>
  </si>
  <si>
    <t>DBL_L2_1_2X2_1_2X3_8</t>
  </si>
  <si>
    <t>DBL_L2_1_2X2_1_2X3_8X3_8</t>
  </si>
  <si>
    <t>DBL_L2_1_2X2_1_2X3_8X3_4</t>
  </si>
  <si>
    <t>DBL_L2_1_2X2_1_2X5_16</t>
  </si>
  <si>
    <t>DBL_L2_1_2X2_1_2X5_16X3_8</t>
  </si>
  <si>
    <t>DBL_L2_1_2X2_1_2X5_16X3_4</t>
  </si>
  <si>
    <t>DBL_L2_1_2X2_1_2X1_4</t>
  </si>
  <si>
    <t>DBL_L2_1_2X2_1_2X1_4X3_8</t>
  </si>
  <si>
    <t>DBL_L2_1_2X2_1_2X1_4X3_4</t>
  </si>
  <si>
    <t>DBL_L2_1_2X2_1_2X3_16</t>
  </si>
  <si>
    <t>DBL_L2_1_2X2_1_2X3_16X3_8</t>
  </si>
  <si>
    <t>DBL_L2_1_2X2_1_2X3_16X3_4</t>
  </si>
  <si>
    <t>DBL_L2X2X3_8</t>
  </si>
  <si>
    <t>DBL_L2X2X3_8X3_8</t>
  </si>
  <si>
    <t>DBL_L2X2X3_8X3_4</t>
  </si>
  <si>
    <t>DBL_L2X2X5_16</t>
  </si>
  <si>
    <t>DBL_L2X2X5_16X3_8</t>
  </si>
  <si>
    <t>DBL_L2X2X5_16X3_4</t>
  </si>
  <si>
    <t>DBL_L2X2X1_4</t>
  </si>
  <si>
    <t>DBL_L2X2X1_4X3_8</t>
  </si>
  <si>
    <t>DBL_L2X2X1_4X3_4</t>
  </si>
  <si>
    <t>DBL_L2X2X3_16</t>
  </si>
  <si>
    <t>DBL_L2X2X3_16X3_8</t>
  </si>
  <si>
    <t>DBL_L2X2X3_16X3_4</t>
  </si>
  <si>
    <t>DBL_L2X2X1_8</t>
  </si>
  <si>
    <t>DBL_L2X2X1_8X3_8</t>
  </si>
  <si>
    <t>DBL_L2X2X1_8X3_4</t>
  </si>
  <si>
    <t>DBL_L8X6X1LLBB</t>
  </si>
  <si>
    <t>DBL_L8X6X1X3_8LLBB</t>
  </si>
  <si>
    <t>DBL_L8X6X1X3_4LLBB</t>
  </si>
  <si>
    <t>DBL_L8X6X7_8LLBB</t>
  </si>
  <si>
    <t>DBL_L8X6X7_8X3_8LLBB</t>
  </si>
  <si>
    <t>DBL_L8X6X7_8X3_4LLBB</t>
  </si>
  <si>
    <t>DBL_L8X6X3_4LLBB</t>
  </si>
  <si>
    <t>DBL_L8X6X3_4X3_8LLBB</t>
  </si>
  <si>
    <t>DBL_L8X6X3_4X3_4LLBB</t>
  </si>
  <si>
    <t>DBL_L8X6X5_8LLBB</t>
  </si>
  <si>
    <t>DBL_L8X6X5_8X3_8LLBB</t>
  </si>
  <si>
    <t>DBL_L8X6X5_8X3_4LLBB</t>
  </si>
  <si>
    <t>DBL_L8X6X9_16LLBB</t>
  </si>
  <si>
    <t>DBL_L8X6X9_16X3_8LLBB</t>
  </si>
  <si>
    <t>DBL_L8X6X9_16X3_4LLBB</t>
  </si>
  <si>
    <t>DBL_L8X6X1_2LLBB</t>
  </si>
  <si>
    <t>DBL_L8X6X1_2X3_8LLBB</t>
  </si>
  <si>
    <t>DBL_L8X6X1_2X3_4LLBB</t>
  </si>
  <si>
    <t>DBL_L8X6X7_16LLBB</t>
  </si>
  <si>
    <t>DBL_L8X6X7_16X3_8LLBB</t>
  </si>
  <si>
    <t>DBL_L8X6X7_16X3_4LLBB</t>
  </si>
  <si>
    <t>DBL_L8X4X1LLBB</t>
  </si>
  <si>
    <t>DBL_L8X4X1X3_8LLBB</t>
  </si>
  <si>
    <t>DBL_L8X4X1X3_4LLBB</t>
  </si>
  <si>
    <t>DBL_L8X4X7_8LLBB</t>
  </si>
  <si>
    <t>DBL_L8X4X7_8X3_8LLBB</t>
  </si>
  <si>
    <t>DBL_L8X4X7_8X3_4LLBB</t>
  </si>
  <si>
    <t>DBL_L8X4X3_4LLBB</t>
  </si>
  <si>
    <t>DBL_L8X4X3_4X3_8LLBB</t>
  </si>
  <si>
    <t>DBL_L8X4X3_4X3_4LLBB</t>
  </si>
  <si>
    <t>DBL_L8X4X5_8LLBB</t>
  </si>
  <si>
    <t>DBL_L8X4X5_8X3_8LLBB</t>
  </si>
  <si>
    <t>DBL_L8X4X5_8X3_4LLBB</t>
  </si>
  <si>
    <t>DBL_L8X4X9_16LLBB</t>
  </si>
  <si>
    <t>DBL_L8X4X9_16X3_8LLBB</t>
  </si>
  <si>
    <t>DBL_L8X4X9_16X3_4LLBB</t>
  </si>
  <si>
    <t>DBL_L8X4X1_2LLBB</t>
  </si>
  <si>
    <t>DBL_L8X4X1_2X3_8LLBB</t>
  </si>
  <si>
    <t>DBL_L8X4X1_2X3_4LLBB</t>
  </si>
  <si>
    <t>DBL_L8X4X7_16LLBB</t>
  </si>
  <si>
    <t>DBL_L8X4X7_16X3_8LLBB</t>
  </si>
  <si>
    <t>DBL_L8X4X7_16X3_4LLBB</t>
  </si>
  <si>
    <t>DBL_L7X4X3_4LLBB</t>
  </si>
  <si>
    <t>DBL_L7X4X3_4X3_8LLBB</t>
  </si>
  <si>
    <t>DBL_L7X4X3_4X3_4LLBB</t>
  </si>
  <si>
    <t>DBL_L7X4X5_8LLBB</t>
  </si>
  <si>
    <t>DBL_L7X4X5_8X3_8LLBB</t>
  </si>
  <si>
    <t>DBL_L7X4X5_8X3_4LLBB</t>
  </si>
  <si>
    <t>DBL_L7X4X1_2LLBB</t>
  </si>
  <si>
    <t>DBL_L7X4X1_2X3_8LLBB</t>
  </si>
  <si>
    <t>DBL_L7X4X1_2X3_4LLBB</t>
  </si>
  <si>
    <t>DBL_L7X4X7_16LLBB</t>
  </si>
  <si>
    <t>DBL_L7X4X7_16X3_8LLBB</t>
  </si>
  <si>
    <t>DBL_L7X4X7_16X3_4LLBB</t>
  </si>
  <si>
    <t>DBL_L7X4X3_8LLBB</t>
  </si>
  <si>
    <t>DBL_L7X4X3_8X3_8LLBB</t>
  </si>
  <si>
    <t>DBL_L7X4X3_8X3_4LLBB</t>
  </si>
  <si>
    <t>DBL_L6X4X7_8LLBB</t>
  </si>
  <si>
    <t>DBL_L6X4X7_8X3_8LLBB</t>
  </si>
  <si>
    <t>DBL_L6X4X7_8X3_4LLBB</t>
  </si>
  <si>
    <t>DBL_L6X4X3_4LLBB</t>
  </si>
  <si>
    <t>DBL_L6X4X3_4X3_8LLBB</t>
  </si>
  <si>
    <t>DBL_L6X4X3_4X3_4LLBB</t>
  </si>
  <si>
    <t>DBL_L6X4X5_8LLBB</t>
  </si>
  <si>
    <t>DBL_L6X4X5_8X3_8LLBB</t>
  </si>
  <si>
    <t>DBL_L6X4X5_8X3_4LLBB</t>
  </si>
  <si>
    <t>DBL_L6X4X9_16LLBB</t>
  </si>
  <si>
    <t>DBL_L6X4X9_16X3_8LLBB</t>
  </si>
  <si>
    <t>DBL_L6X4X9_16X3_4LLBB</t>
  </si>
  <si>
    <t>DBL_L6X4X1_2LLBB</t>
  </si>
  <si>
    <t>DBL_L6X4X1_2X3_8LLBB</t>
  </si>
  <si>
    <t>DBL_L6X4X1_2X3_4LLBB</t>
  </si>
  <si>
    <t>DBL_L6X4X7_16LLBB</t>
  </si>
  <si>
    <t>DBL_L6X4X7_16X3_8LLBB</t>
  </si>
  <si>
    <t>DBL_L6X4X7_16X3_4LLBB</t>
  </si>
  <si>
    <t>DBL_L6X4X3_8LLBB</t>
  </si>
  <si>
    <t>DBL_L6X4X3_8X3_8LLBB</t>
  </si>
  <si>
    <t>DBL_L6X4X3_8X3_4LLBB</t>
  </si>
  <si>
    <t>DBL_L6X4X5_16LLBB</t>
  </si>
  <si>
    <t>DBL_L6X4X5_16X3_8LLBB</t>
  </si>
  <si>
    <t>DBL_L6X4X5_16X3_4LLBB</t>
  </si>
  <si>
    <t>DBL_L6X3_1_2X1_2LLBB</t>
  </si>
  <si>
    <t>DBL_L6X3_1_2X1_2X3_8LLBB</t>
  </si>
  <si>
    <t>DBL_L6X3_1_2X1_2X3_4LLBB</t>
  </si>
  <si>
    <t>DBL_L6X3_1_2X3_8LLBB</t>
  </si>
  <si>
    <t>DBL_L6X3_1_2X3_8X3_8LLBB</t>
  </si>
  <si>
    <t>DBL_L6X3_1_2X3_8X3_4LLBB</t>
  </si>
  <si>
    <t>DBL_L6X3_1_2X5_16LLBB</t>
  </si>
  <si>
    <t>DBL_L6X3_1_2X5_16X3_8LLBB</t>
  </si>
  <si>
    <t>DBL_L6X3_1_2X5_16X3_4LLBB</t>
  </si>
  <si>
    <t>DBL_L5X3_1_2X3_4LLBB</t>
  </si>
  <si>
    <t>DBL_L5X3_1_2X3_4X3_8LLBB</t>
  </si>
  <si>
    <t>DBL_L5X3_1_2X3_4X3_4LLBB</t>
  </si>
  <si>
    <t>DBL_L5X3_1_2X5_8LLBB</t>
  </si>
  <si>
    <t>DBL_L5X3_1_2X5_8X3_8LLBB</t>
  </si>
  <si>
    <t>DBL_L5X3_1_2X5_8X3_4LLBB</t>
  </si>
  <si>
    <t>DBL_L5X3_1_2X1_2LLBB</t>
  </si>
  <si>
    <t>DBL_L5X3_1_2X1_2X3_8LLBB</t>
  </si>
  <si>
    <t>DBL_L5X3_1_2X1_2X3_4LLBB</t>
  </si>
  <si>
    <t>DBL_L5X3_1_2X3_8LLBB</t>
  </si>
  <si>
    <t>DBL_L5X3_1_2X3_8X3_8LLBB</t>
  </si>
  <si>
    <t>DBL_L5X3_1_2X3_8X3_4LLBB</t>
  </si>
  <si>
    <t>DBL_L5X3_1_2X5_16LLBB</t>
  </si>
  <si>
    <t>DBL_L5X3_1_2X5_16X3_8LLBB</t>
  </si>
  <si>
    <t>DBL_L5X3_1_2X5_16X3_4LLBB</t>
  </si>
  <si>
    <t>DBL_L5X3_1_2X1_4LLBB</t>
  </si>
  <si>
    <t>DBL_L5X3_1_2X1_4X3_8LLBB</t>
  </si>
  <si>
    <t>DBL_L5X3_1_2X1_4X3_4LLBB</t>
  </si>
  <si>
    <t>DBL_L5X3X1_2LLBB</t>
  </si>
  <si>
    <t>DBL_L5X3X1_2X3_8LLBB</t>
  </si>
  <si>
    <t>DBL_L5X3X1_2X3_4LLBB</t>
  </si>
  <si>
    <t>DBL_L5X3X7_16LLBB</t>
  </si>
  <si>
    <t>DBL_L5X3X7_16X3_8LLBB</t>
  </si>
  <si>
    <t>DBL_L5X3X7_16X3_4LLBB</t>
  </si>
  <si>
    <t>DBL_L5X3X3_8LLBB</t>
  </si>
  <si>
    <t>DBL_L5X3X3_8X3_8LLBB</t>
  </si>
  <si>
    <t>DBL_L5X3X3_8X3_4LLBB</t>
  </si>
  <si>
    <t>DBL_L5X3X5_16LLBB</t>
  </si>
  <si>
    <t>DBL_L5X3X5_16X3_8LLBB</t>
  </si>
  <si>
    <t>DBL_L5X3X5_16X3_4LLBB</t>
  </si>
  <si>
    <t>DBL_L5X3X1_4LLBB</t>
  </si>
  <si>
    <t>DBL_L5X3X1_4X3_8LLBB</t>
  </si>
  <si>
    <t>DBL_L5X3X1_4X3_4LLBB</t>
  </si>
  <si>
    <t>DBL_L4X3_1_2X1_2LLBB</t>
  </si>
  <si>
    <t>DBL_L4X3_1_2X1_2X3_8LLBB</t>
  </si>
  <si>
    <t>DBL_L4X3_1_2X1_2X3_4LLBB</t>
  </si>
  <si>
    <t>DBL_L4X3_1_2X3_8LLBB</t>
  </si>
  <si>
    <t>DBL_L4X3_1_2X3_8X3_8LLBB</t>
  </si>
  <si>
    <t>DBL_L4X3_1_2X3_8X3_4LLBB</t>
  </si>
  <si>
    <t>DBL_L4X3_1_2X5_16LLBB</t>
  </si>
  <si>
    <t>DBL_L4X3_1_2X5_16X3_8LLBB</t>
  </si>
  <si>
    <t>DBL_L4X3_1_2X5_16X3_4LLBB</t>
  </si>
  <si>
    <t>DBL_L4X3_1_2X1_4LLBB</t>
  </si>
  <si>
    <t>DBL_L4X3_1_2X1_4X3_8LLBB</t>
  </si>
  <si>
    <t>DBL_L4X3_1_2X1_4X3_4LLBB</t>
  </si>
  <si>
    <t>DBL_L4X3X5_8LLBB</t>
  </si>
  <si>
    <t>DBL_L4X3X5_8X3_8LLBB</t>
  </si>
  <si>
    <t>DBL_L4X3X5_8X3_4LLBB</t>
  </si>
  <si>
    <t>DBL_L4X3X1_2LLBB</t>
  </si>
  <si>
    <t>DBL_L4X3X1_2X3_8LLBB</t>
  </si>
  <si>
    <t>DBL_L4X3X1_2X3_4LLBB</t>
  </si>
  <si>
    <t>DBL_L4X3X3_8LLBB</t>
  </si>
  <si>
    <t>DBL_L4X3X3_8X3_8LLBB</t>
  </si>
  <si>
    <t>DBL_L4X3X3_8X3_4LLBB</t>
  </si>
  <si>
    <t>DBL_L4X3X5_16LLBB</t>
  </si>
  <si>
    <t>DBL_L4X3X5_16X3_8LLBB</t>
  </si>
  <si>
    <t>DBL_L4X3X5_16X3_4LLBB</t>
  </si>
  <si>
    <t>DBL_L4X3X1_4LLBB</t>
  </si>
  <si>
    <t>DBL_L4X3X1_4X3_8LLBB</t>
  </si>
  <si>
    <t>DBL_L4X3X1_4X3_4LLBB</t>
  </si>
  <si>
    <t>DBL_L3_1_2X3X1_2LLBB</t>
  </si>
  <si>
    <t>DBL_L3_1_2X3X1_2X3_8LLBB</t>
  </si>
  <si>
    <t>DBL_L3_1_2X3X1_2X3_4LLBB</t>
  </si>
  <si>
    <t>DBL_L3_1_2X3X7_16LLBB</t>
  </si>
  <si>
    <t>DBL_L3_1_2X3X7_16X3_8LLBB</t>
  </si>
  <si>
    <t>DBL_L3_1_2X3X7_16X3_4LLBB</t>
  </si>
  <si>
    <t>DBL_L3_1_2X3X3_8LLBB</t>
  </si>
  <si>
    <t>DBL_L3_1_2X3X3_8X3_8LLBB</t>
  </si>
  <si>
    <t>DBL_L3_1_2X3X3_8X3_4LLBB</t>
  </si>
  <si>
    <t>DBL_L3_1_2X3X5_16LLBB</t>
  </si>
  <si>
    <t>DBL_L3_1_2X3X5_16X3_8LLBB</t>
  </si>
  <si>
    <t>DBL_L3_1_2X3X5_16X3_4LLBB</t>
  </si>
  <si>
    <t>DBL_L3_1_2X3X1_4LLBB</t>
  </si>
  <si>
    <t>DBL_L3_1_2X3X1_4X3_8LLBB</t>
  </si>
  <si>
    <t>DBL_L3_1_2X3X1_4X3_4LLBB</t>
  </si>
  <si>
    <t>DBL_L3_1_2X2_1_2X1_2LLBB</t>
  </si>
  <si>
    <t>DBL_L3_1_2X2_1_2X1_2X3_8LLBB</t>
  </si>
  <si>
    <t>DBL_L3_1_2X2_1_2X1_2X3_4LLBB</t>
  </si>
  <si>
    <t>DBL_L3_1_2X2_1_2X3_8LLBB</t>
  </si>
  <si>
    <t>DBL_L3_1_2X2_1_2X3_8X3_8LLBB</t>
  </si>
  <si>
    <t>DBL_L3_1_2X2_1_2X3_8X3_4LLBB</t>
  </si>
  <si>
    <t>DBL_L3_1_2X2_1_2X5_16LLBB</t>
  </si>
  <si>
    <t>DBL_L3_1_2X2_1_2X5_16X3_8LLBB</t>
  </si>
  <si>
    <t>DBL_L3_1_2X2_1_2X5_16X3_4LLBB</t>
  </si>
  <si>
    <t>DBL_L3_1_2X2_1_2X1_4LLBB</t>
  </si>
  <si>
    <t>DBL_L3_1_2X2_1_2X1_4X3_8LLBB</t>
  </si>
  <si>
    <t>DBL_L3_1_2X2_1_2X1_4X3_4LLBB</t>
  </si>
  <si>
    <t>DBL_L3X2_1_2X1_2LLBB</t>
  </si>
  <si>
    <t>DBL_L3X2_1_2X1_2X3_8LLBB</t>
  </si>
  <si>
    <t>DBL_L3X2_1_2X1_2X3_4LLBB</t>
  </si>
  <si>
    <t>DBL_L3X2_1_2X7_16LLBB</t>
  </si>
  <si>
    <t>DBL_L3X2_1_2X7_16X3_8LLBB</t>
  </si>
  <si>
    <t>DBL_L3X2_1_2X7_16X3_4LLBB</t>
  </si>
  <si>
    <t>DBL_L3X2_1_2X3_8LLBB</t>
  </si>
  <si>
    <t>DBL_L3X2_1_2X3_8X3_8LLBB</t>
  </si>
  <si>
    <t>DBL_L3X2_1_2X3_8X3_4LLBB</t>
  </si>
  <si>
    <t>DBL_L3X2_1_2X5_16LLBB</t>
  </si>
  <si>
    <t>DBL_L3X2_1_2X5_16X3_8LLBB</t>
  </si>
  <si>
    <t>DBL_L3X2_1_2X5_16X3_4LLBB</t>
  </si>
  <si>
    <t>DBL_L3X2_1_2X1_4LLBB</t>
  </si>
  <si>
    <t>DBL_L3X2_1_2X1_4X3_8LLBB</t>
  </si>
  <si>
    <t>DBL_L3X2_1_2X1_4X3_4LLBB</t>
  </si>
  <si>
    <t>DBL_L3X2_1_2X3_16LLBB</t>
  </si>
  <si>
    <t>DBL_L3X2_1_2X3_16X3_8LLBB</t>
  </si>
  <si>
    <t>DBL_L3X2_1_2X3_16X3_4LLBB</t>
  </si>
  <si>
    <t>DBL_L3X2X1_2LLBB</t>
  </si>
  <si>
    <t>DBL_L3X2X1_2X3_8LLBB</t>
  </si>
  <si>
    <t>DBL_L3X2X1_2X3_4LLBB</t>
  </si>
  <si>
    <t>DBL_L3X2X3_8LLBB</t>
  </si>
  <si>
    <t>DBL_L3X2X3_8X3_8LLBB</t>
  </si>
  <si>
    <t>DBL_L3X2X3_8X3_4LLBB</t>
  </si>
  <si>
    <t>DBL_L3X2X5_16LLBB</t>
  </si>
  <si>
    <t>DBL_L3X2X5_16X3_8LLBB</t>
  </si>
  <si>
    <t>DBL_L3X2X5_16X3_4LLBB</t>
  </si>
  <si>
    <t>DBL_L3X2X1_4LLBB</t>
  </si>
  <si>
    <t>DBL_L3X2X1_4X3_8LLBB</t>
  </si>
  <si>
    <t>DBL_L3X2X1_4X3_4LLBB</t>
  </si>
  <si>
    <t>DBL_L3X2X3_16LLBB</t>
  </si>
  <si>
    <t>DBL_L3X2X3_16X3_8LLBB</t>
  </si>
  <si>
    <t>DBL_L3X2X3_16X3_4LLBB</t>
  </si>
  <si>
    <t>DBL_L2_1_2X2X3_8LLBB</t>
  </si>
  <si>
    <t>DBL_L2_1_2X2X3_8X3_8LLBB</t>
  </si>
  <si>
    <t>DBL_L2_1_2X2X3_8X3_4LLBB</t>
  </si>
  <si>
    <t>DBL_L2_1_2X2X5_16LLBB</t>
  </si>
  <si>
    <t>DBL_L2_1_2X2X5_16X3_8LLBB</t>
  </si>
  <si>
    <t>DBL_L2_1_2X2X5_16X3_4LLBB</t>
  </si>
  <si>
    <t>DBL_L2_1_2X2X1_4LLBB</t>
  </si>
  <si>
    <t>DBL_L2_1_2X2X1_4X3_8LLBB</t>
  </si>
  <si>
    <t>DBL_L2_1_2X2X1_4X3_4LLBB</t>
  </si>
  <si>
    <t>DBL_L2_1_2X2X3_16LLBB</t>
  </si>
  <si>
    <t>DBL_L2_1_2X2X3_16X3_8LLBB</t>
  </si>
  <si>
    <t>DBL_L2_1_2X2X3_16X3_4LLBB</t>
  </si>
  <si>
    <t>DBL_L2_1_2X1_1_2X1_4LLBB</t>
  </si>
  <si>
    <t>DBL_L2_1_2X1_1_2X1_4X3_8LLBB</t>
  </si>
  <si>
    <t>DBL_L2_1_2X1_1_2X1_4X3_4LLBB</t>
  </si>
  <si>
    <t>DBL_L2_1_2X1_1_2X3_16LLBB</t>
  </si>
  <si>
    <t>DBL_L2_1_2X1_1_2X3_16X3_8LLBB</t>
  </si>
  <si>
    <t>DBL_L2_1_2X1_1_2X3_16X3_4LLBB</t>
  </si>
  <si>
    <t>DBL_L8X6X1SLBB</t>
  </si>
  <si>
    <t>DBL_L8X6X1X3_8SLBB</t>
  </si>
  <si>
    <t>DBL_L8X6X1X3_4SLBB</t>
  </si>
  <si>
    <t>DBL_L8X6X7_8SLBB</t>
  </si>
  <si>
    <t>DBL_L8X6X7_8X3_8SLBB</t>
  </si>
  <si>
    <t>DBL_L8X6X7_8X3_4SLBB</t>
  </si>
  <si>
    <t>DBL_L8X6X3_4SLBB</t>
  </si>
  <si>
    <t>DBL_L8X6X3_4X3_8SLBB</t>
  </si>
  <si>
    <t>DBL_L8X6X3_4X3_4SLBB</t>
  </si>
  <si>
    <t>DBL_L8X6X5_8SLBB</t>
  </si>
  <si>
    <t>DBL_L8X6X5_8X3_8SLBB</t>
  </si>
  <si>
    <t>DBL_L8X6X5_8X3_4SLBB</t>
  </si>
  <si>
    <t>DBL_L8X6X9_16SLBB</t>
  </si>
  <si>
    <t>DBL_L8X6X9_16X3_8SLBB</t>
  </si>
  <si>
    <t>DBL_L8X6X9_16X3_4SLBB</t>
  </si>
  <si>
    <t>DBL_L8X6X1_2SLBB</t>
  </si>
  <si>
    <t>DBL_L8X6X1_2X3_8SLBB</t>
  </si>
  <si>
    <t>DBL_L8X6X1_2X3_4SLBB</t>
  </si>
  <si>
    <t>DBL_L8X6X7_16SLBB</t>
  </si>
  <si>
    <t>DBL_L8X6X7_16X3_8SLBB</t>
  </si>
  <si>
    <t>DBL_L8X6X7_16X3_4SLBB</t>
  </si>
  <si>
    <t>DBL_L8X4X1SLBB</t>
  </si>
  <si>
    <t>DBL_L8X4X1X3_8SLBB</t>
  </si>
  <si>
    <t>DBL_L8X4X1X3_4SLBB</t>
  </si>
  <si>
    <t>DBL_L8X4X7_8SLBB</t>
  </si>
  <si>
    <t>DBL_L8X4X7_8X3_8SLBB</t>
  </si>
  <si>
    <t>DBL_L8X4X7_8X3_4SLBB</t>
  </si>
  <si>
    <t>DBL_L8X4X3_4SLBB</t>
  </si>
  <si>
    <t>DBL_L8X4X3_4X3_8SLBB</t>
  </si>
  <si>
    <t>DBL_L8X4X3_4X3_4SLBB</t>
  </si>
  <si>
    <t>DBL_L8X4X5_8SLBB</t>
  </si>
  <si>
    <t>DBL_L8X4X5_8X3_8SLBB</t>
  </si>
  <si>
    <t>DBL_L8X4X5_8X3_4SLBB</t>
  </si>
  <si>
    <t>DBL_L8X4X9_16SLBB</t>
  </si>
  <si>
    <t>DBL_L8X4X9_16X3_8SLBB</t>
  </si>
  <si>
    <t>DBL_L8X4X9_16X3_4SLBB</t>
  </si>
  <si>
    <t>DBL_L8X4X1_2SLBB</t>
  </si>
  <si>
    <t>DBL_L8X4X1_2X3_8SLBB</t>
  </si>
  <si>
    <t>DBL_L8X4X1_2X3_4SLBB</t>
  </si>
  <si>
    <t>DBL_L8X4X7_16SLBB</t>
  </si>
  <si>
    <t>DBL_L8X4X7_16X3_8SLBB</t>
  </si>
  <si>
    <t>DBL_L8X4X7_16X3_4SLBB</t>
  </si>
  <si>
    <t>DBL_L7X4X3_4SLBB</t>
  </si>
  <si>
    <t>DBL_L7X4X3_4X3_8SLBB</t>
  </si>
  <si>
    <t>DBL_L7X4X3_4X3_4SLBB</t>
  </si>
  <si>
    <t>DBL_L7X4X5_8SLBB</t>
  </si>
  <si>
    <t>DBL_L7X4X5_8X3_8SLBB</t>
  </si>
  <si>
    <t>DBL_L7X4X5_8X3_4SLBB</t>
  </si>
  <si>
    <t>DBL_L7X4X1_2SLBB</t>
  </si>
  <si>
    <t>DBL_L7X4X1_2X3_8SLBB</t>
  </si>
  <si>
    <t>DBL_L7X4X1_2X3_4SLBB</t>
  </si>
  <si>
    <t>DBL_L7X4X7_16SLBB</t>
  </si>
  <si>
    <t>DBL_L7X4X7_16X3_8SLBB</t>
  </si>
  <si>
    <t>DBL_L7X4X7_16X3_4SLBB</t>
  </si>
  <si>
    <t>DBL_L7X4X3_8SLBB</t>
  </si>
  <si>
    <t>DBL_L7X4X3_8X3_8SLBB</t>
  </si>
  <si>
    <t>DBL_L7X4X3_8X3_4SLBB</t>
  </si>
  <si>
    <t>DBL_L6X4X7_8SLBB</t>
  </si>
  <si>
    <t>DBL_L6X4X7_8X3_8SLBB</t>
  </si>
  <si>
    <t>DBL_L6X4X7_8X3_4SLBB</t>
  </si>
  <si>
    <t>DBL_L6X4X3_4SLBB</t>
  </si>
  <si>
    <t>DBL_L6X4X3_4X3_8SLBB</t>
  </si>
  <si>
    <t>DBL_L6X4X3_4X3_4SLBB</t>
  </si>
  <si>
    <t>DBL_L6X4X5_8SLBB</t>
  </si>
  <si>
    <t>DBL_L6X4X5_8X3_8SLBB</t>
  </si>
  <si>
    <t>DBL_L6X4X5_8X3_4SLBB</t>
  </si>
  <si>
    <t>DBL_L6X4X9_16SLBB</t>
  </si>
  <si>
    <t>DBL_L6X4X9_16X3_8SLBB</t>
  </si>
  <si>
    <t>DBL_L6X4X9_16X3_4SLBB</t>
  </si>
  <si>
    <t>DBL_L6X4X1_2SLBB</t>
  </si>
  <si>
    <t>DBL_L6X4X1_2X3_8SLBB</t>
  </si>
  <si>
    <t>DBL_L6X4X1_2X3_4SLBB</t>
  </si>
  <si>
    <t>DBL_L6X4X7_16SLBB</t>
  </si>
  <si>
    <t>DBL_L6X4X7_16X3_8SLBB</t>
  </si>
  <si>
    <t>DBL_L6X4X7_16X3_4SLBB</t>
  </si>
  <si>
    <t>DBL_L6X4X3_8SLBB</t>
  </si>
  <si>
    <t>DBL_L6X4X3_8X3_8SLBB</t>
  </si>
  <si>
    <t>DBL_L6X4X3_8X3_4SLBB</t>
  </si>
  <si>
    <t>DBL_L6X4X5_16SLBB</t>
  </si>
  <si>
    <t>DBL_L6X4X5_16X3_8SLBB</t>
  </si>
  <si>
    <t>DBL_L6X4X5_16X3_4SLBB</t>
  </si>
  <si>
    <t>DBL_L6X3_1_2X1_2SLBB</t>
  </si>
  <si>
    <t>DBL_L6X3_1_2X1_2X3_8SLBB</t>
  </si>
  <si>
    <t>DBL_L6X3_1_2X1_2X3_4SLBB</t>
  </si>
  <si>
    <t>DBL_L6X3_1_2X3_8SLBB</t>
  </si>
  <si>
    <t>DBL_L6X3_1_2X3_8X3_8SLBB</t>
  </si>
  <si>
    <t>DBL_L6X3_1_2X3_8X3_4SLBB</t>
  </si>
  <si>
    <t>DBL_L6X3_1_2X5_16SLBB</t>
  </si>
  <si>
    <t>DBL_L6X3_1_2X5_16X3_8SLBB</t>
  </si>
  <si>
    <t>DBL_L6X3_1_2X5_16X3_4SLBB</t>
  </si>
  <si>
    <t>DBL_L5X3_1_2X3_4SLBB</t>
  </si>
  <si>
    <t>DBL_L5X3_1_2X3_4X3_8SLBB</t>
  </si>
  <si>
    <t>DBL_L5X3_1_2X3_4X3_4SLBB</t>
  </si>
  <si>
    <t>DBL_L5X3_1_2X5_8SLBB</t>
  </si>
  <si>
    <t>DBL_L5X3_1_2X5_8X3_8SLBB</t>
  </si>
  <si>
    <t>DBL_L5X3_1_2X5_8X3_4SLBB</t>
  </si>
  <si>
    <t>DBL_L5X3_1_2X1_2SLBB</t>
  </si>
  <si>
    <t>DBL_L5X3_1_2X1_2X3_8SLBB</t>
  </si>
  <si>
    <t>DBL_L5X3_1_2X1_2X3_4SLBB</t>
  </si>
  <si>
    <t>DBL_L5X3_1_2X3_8SLBB</t>
  </si>
  <si>
    <t>DBL_L5X3_1_2X3_8X3_8SLBB</t>
  </si>
  <si>
    <t>DBL_L5X3_1_2X3_8X3_4SLBB</t>
  </si>
  <si>
    <t>DBL_L5X3_1_2X5_16SLBB</t>
  </si>
  <si>
    <t>DBL_L5X3_1_2X5_16X3_8SLBB</t>
  </si>
  <si>
    <t>DBL_L5X3_1_2X5_16X3_4SLBB</t>
  </si>
  <si>
    <t>DBL_L5X3_1_2X1_4SLBB</t>
  </si>
  <si>
    <t>DBL_L5X3_1_2X1_4X3_8SLBB</t>
  </si>
  <si>
    <t>DBL_L5X3_1_2X1_4X3_4SLBB</t>
  </si>
  <si>
    <t>DBL_L5X3X1_2SLBB</t>
  </si>
  <si>
    <t>DBL_L5X3X1_2X3_8SLBB</t>
  </si>
  <si>
    <t>DBL_L5X3X1_2X3_4SLBB</t>
  </si>
  <si>
    <t>DBL_L5X3X7_16SLBB</t>
  </si>
  <si>
    <t>DBL_L5X3X7_16X3_8SLBB</t>
  </si>
  <si>
    <t>DBL_L5X3X7_16X3_4SLBB</t>
  </si>
  <si>
    <t>DBL_L5X3X3_8SLBB</t>
  </si>
  <si>
    <t>DBL_L5X3X3_8X3_8SLBB</t>
  </si>
  <si>
    <t>DBL_L5X3X3_8X3_4SLBB</t>
  </si>
  <si>
    <t>DBL_L5X3X5_16SLBB</t>
  </si>
  <si>
    <t>DBL_L5X3X5_16X3_8SLBB</t>
  </si>
  <si>
    <t>DBL_L5X3X5_16X3_4SLBB</t>
  </si>
  <si>
    <t>DBL_L5X3X1_4SLBB</t>
  </si>
  <si>
    <t>DBL_L5X3X1_4X3_8SLBB</t>
  </si>
  <si>
    <t>DBL_L5X3X1_4X3_4SLBB</t>
  </si>
  <si>
    <t>DBL_L4X3_1_2X1_2SLBB</t>
  </si>
  <si>
    <t>DBL_L4X3_1_2X1_2X3_8SLBB</t>
  </si>
  <si>
    <t>DBL_L4X3_1_2X1_2X3_4SLBB</t>
  </si>
  <si>
    <t>DBL_L4X3_1_2X3_8SLBB</t>
  </si>
  <si>
    <t>DBL_L4X3_1_2X3_8X3_8SLBB</t>
  </si>
  <si>
    <t>DBL_L4X3_1_2X3_8X3_4SLBB</t>
  </si>
  <si>
    <t>DBL_L4X3_1_2X5_16SLBB</t>
  </si>
  <si>
    <t>DBL_L4X3_1_2X5_16X3_8SLBB</t>
  </si>
  <si>
    <t>DBL_L4X3_1_2X5_16X3_4SLBB</t>
  </si>
  <si>
    <t>DBL_L4X3_1_2X1_4SLBB</t>
  </si>
  <si>
    <t>DBL_L4X3_1_2X1_4X3_8SLBB</t>
  </si>
  <si>
    <t>DBL_L4X3_1_2X1_4X3_4SLBB</t>
  </si>
  <si>
    <t>DBL_L4X3X5_8SLBB</t>
  </si>
  <si>
    <t>DBL_L4X3X5_8X3_8SLBB</t>
  </si>
  <si>
    <t>DBL_L4X3X5_8X3_4SLBB</t>
  </si>
  <si>
    <t>DBL_L4X3X1_2SLBB</t>
  </si>
  <si>
    <t>DBL_L4X3X1_2X3_8SLBB</t>
  </si>
  <si>
    <t>DBL_L4X3X1_2X3_4SLBB</t>
  </si>
  <si>
    <t>DBL_L4X3X3_8SLBB</t>
  </si>
  <si>
    <t>DBL_L4X3X3_8X3_8SLBB</t>
  </si>
  <si>
    <t>DBL_L4X3X3_8X3_4SLBB</t>
  </si>
  <si>
    <t>DBL_L4X3X5_16SLBB</t>
  </si>
  <si>
    <t>DBL_L4X3X5_16X3_8SLBB</t>
  </si>
  <si>
    <t>DBL_L4X3X5_16X3_4SLBB</t>
  </si>
  <si>
    <t>DBL_L4X3X1_4SLBB</t>
  </si>
  <si>
    <t>DBL_L4X3X1_4X3_8SLBB</t>
  </si>
  <si>
    <t>DBL_L4X3X1_4X3_4SLBB</t>
  </si>
  <si>
    <t>DBL_L3_1_2X3X1_2SLBB</t>
  </si>
  <si>
    <t>DBL_L3_1_2X3X1_2X3_8SLBB</t>
  </si>
  <si>
    <t>DBL_L3_1_2X3X1_2X3_4SLBB</t>
  </si>
  <si>
    <t>DBL_L3_1_2X3X7_16SLBB</t>
  </si>
  <si>
    <t>DBL_L3_1_2X3X7_16X3_8SLBB</t>
  </si>
  <si>
    <t>DBL_L3_1_2X3X7_16X3_4SLBB</t>
  </si>
  <si>
    <t>DBL_L3_1_2X3X3_8SLBB</t>
  </si>
  <si>
    <t>DBL_L3_1_2X3X3_8X3_8SLBB</t>
  </si>
  <si>
    <t>DBL_L3_1_2X3X3_8X3_4SLBB</t>
  </si>
  <si>
    <t>DBL_L3_1_2X3X5_16SLBB</t>
  </si>
  <si>
    <t>DBL_L3_1_2X3X5_16X3_8SLBB</t>
  </si>
  <si>
    <t>DBL_L3_1_2X3X5_16X3_4SLBB</t>
  </si>
  <si>
    <t>DBL_L3_1_2X3X1_4SLBB</t>
  </si>
  <si>
    <t>DBL_L3_1_2X3X1_4X3_8SLBB</t>
  </si>
  <si>
    <t>DBL_L3_1_2X3X1_4X3_4SLBB</t>
  </si>
  <si>
    <t>DBL_L3_1_2X2_1_2X1_2SLBB</t>
  </si>
  <si>
    <t>DBL_L3_1_2X2_1_2X1_2X3_8SLBB</t>
  </si>
  <si>
    <t>DBL_L3_1_2X2_1_2X1_2X3_4SLBB</t>
  </si>
  <si>
    <t>DBL_L3_1_2X2_1_2X3_8SLBB</t>
  </si>
  <si>
    <t>DBL_L3_1_2X2_1_2X3_8X3_8SLBB</t>
  </si>
  <si>
    <t>DBL_L3_1_2X2_1_2X3_8X3_4SLBB</t>
  </si>
  <si>
    <t>DBL_L3_1_2X2_1_2X5_16SLBB</t>
  </si>
  <si>
    <t>DBL_L3_1_2X2_1_2X5_16X3_8SLBB</t>
  </si>
  <si>
    <t>DBL_L3_1_2X2_1_2X5_16X3_4SLBB</t>
  </si>
  <si>
    <t>DBL_L3_1_2X2_1_2X1_4SLBB</t>
  </si>
  <si>
    <t>DBL_L3_1_2X2_1_2X1_4X3_8SLBB</t>
  </si>
  <si>
    <t>DBL_L3_1_2X2_1_2X1_4X3_4SLBB</t>
  </si>
  <si>
    <t>DBL_L3X2_1_2X1_2SLBB</t>
  </si>
  <si>
    <t>DBL_L3X2_1_2X1_2X3_8SLBB</t>
  </si>
  <si>
    <t>DBL_L3X2_1_2X1_2X3_4SLBB</t>
  </si>
  <si>
    <t>DBL_L3X2_1_2X7_16SLBB</t>
  </si>
  <si>
    <t>DBL_L3X2_1_2X7_16X3_8SLBB</t>
  </si>
  <si>
    <t>DBL_L3X2_1_2X7_16X3_4SLBB</t>
  </si>
  <si>
    <t>DBL_L3X2_1_2X3_8SLBB</t>
  </si>
  <si>
    <t>DBL_L3X2_1_2X3_8X3_8SLBB</t>
  </si>
  <si>
    <t>DBL_L3X2_1_2X3_8X3_4SLBB</t>
  </si>
  <si>
    <t>DBL_L3X2_1_2X5_16SLBB</t>
  </si>
  <si>
    <t>DBL_L3X2_1_2X5_16X3_8SLBB</t>
  </si>
  <si>
    <t>DBL_L3X2_1_2X5_16X3_4SLBB</t>
  </si>
  <si>
    <t>DBL_L3X2_1_2X1_4SLBB</t>
  </si>
  <si>
    <t>DBL_L3X2_1_2X1_4X3_8SLBB</t>
  </si>
  <si>
    <t>DBL_L3X2_1_2X1_4X3_4SLBB</t>
  </si>
  <si>
    <t>DBL_L3X2_1_2X3_16SLBB</t>
  </si>
  <si>
    <t>DBL_L3X2_1_2X3_16X3_8SLBB</t>
  </si>
  <si>
    <t>DBL_L3X2_1_2X3_16X3_4SLBB</t>
  </si>
  <si>
    <t>DBL_L3X2X1_2SLBB</t>
  </si>
  <si>
    <t>DBL_L3X2X1_2X3_8SLBB</t>
  </si>
  <si>
    <t>DBL_L3X2X1_2X3_4SLBB</t>
  </si>
  <si>
    <t>DBL_L3X2X3_8SLBB</t>
  </si>
  <si>
    <t>DBL_L3X2X3_8X3_8SLBB</t>
  </si>
  <si>
    <t>DBL_L3X2X3_8X3_4SLBB</t>
  </si>
  <si>
    <t>DBL_L3X2X5_16SLBB</t>
  </si>
  <si>
    <t>DBL_L3X2X5_16X3_8SLBB</t>
  </si>
  <si>
    <t>DBL_L3X2X5_16X3_4SLBB</t>
  </si>
  <si>
    <t>DBL_L3X2X1_4SLBB</t>
  </si>
  <si>
    <t>DBL_L3X2X1_4X3_8SLBB</t>
  </si>
  <si>
    <t>DBL_L3X2X1_4X3_4SLBB</t>
  </si>
  <si>
    <t>DBL_L3X2X3_16SLBB</t>
  </si>
  <si>
    <t>DBL_L3X2X3_16X3_8SLBB</t>
  </si>
  <si>
    <t>DBL_L3X2X3_16X3_4SLBB</t>
  </si>
  <si>
    <t>DBL_L2_1_2X2X3_8SLBB</t>
  </si>
  <si>
    <t>DBL_L2_1_2X2X3_8X3_8SLBB</t>
  </si>
  <si>
    <t>DBL_L2_1_2X2X3_8X3_4SLBB</t>
  </si>
  <si>
    <t>DBL_L2_1_2X2X5_16SLBB</t>
  </si>
  <si>
    <t>DBL_L2_1_2X2X5_16X3_8SLBB</t>
  </si>
  <si>
    <t>DBL_L2_1_2X2X5_16X3_4SLBB</t>
  </si>
  <si>
    <t>DBL_L2_1_2X2X1_4SLBB</t>
  </si>
  <si>
    <t>DBL_L2_1_2X2X1_4X3_8SLBB</t>
  </si>
  <si>
    <t>DBL_L2_1_2X2X1_4X3_4SLBB</t>
  </si>
  <si>
    <t>DBL_L2_1_2X2X3_16SLBB</t>
  </si>
  <si>
    <t>DBL_L2_1_2X2X3_16X3_8SLBB</t>
  </si>
  <si>
    <t>DBL_L2_1_2X2X3_16X3_4SLBB</t>
  </si>
  <si>
    <t>DBL_L2_1_2X1_1_2X1_4SLBB</t>
  </si>
  <si>
    <t>DBL_L2_1_2X1_1_2X1_4X3_8SLBB</t>
  </si>
  <si>
    <t>DBL_L2_1_2X1_1_2X1_4X3_4SLBB</t>
  </si>
  <si>
    <t>DBL_L2_1_2X1_1_2X3_16SLBB</t>
  </si>
  <si>
    <t>DBL_L2_1_2X1_1_2X3_16X3_8SLBB</t>
  </si>
  <si>
    <t>DBL_L2_1_2X1_1_2X3_16X3_4SLBB</t>
  </si>
  <si>
    <t>L2_leg_a [mm]</t>
  </si>
  <si>
    <t>L2_leg_b [mm]</t>
  </si>
  <si>
    <t>L2_t_leg [mm]</t>
  </si>
  <si>
    <t>L2_spacing [mm]</t>
  </si>
  <si>
    <t>L2_config</t>
  </si>
  <si>
    <t>LLBB</t>
  </si>
  <si>
    <t>ro [mm]</t>
  </si>
  <si>
    <t>Yc [mm]</t>
  </si>
  <si>
    <t>Xc [mm]</t>
  </si>
  <si>
    <t>ri_rz [mm]</t>
  </si>
  <si>
    <t>SLBB</t>
  </si>
  <si>
    <t>BB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</si>
</sst>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2" borderId="1" xfId="0" applyFill="1" applyBorder="1"/>
    <xf numFmtId="0" fontId="2" fillId="2" borderId="1" xfId="0" applyFont="1" applyFill="1" applyBorder="1"/>
    <xf numFmtId="0" fontId="0" fillId="2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90"/>
  <sheetViews>
    <sheetView workbookViewId="0">
      <selection activeCell="C1" sqref="C1"/>
    </sheetView>
  </sheetViews>
  <sheetFormatPr baseColWidth="10" defaultColWidth="8.7109375" defaultRowHeight="15" x14ac:dyDescent="0.25"/>
  <cols>
    <col min="2" max="2" width="10.85546875" bestFit="1" customWidth="1"/>
    <col min="3" max="3" width="10.5703125" bestFit="1" customWidth="1"/>
    <col min="10" max="10" width="11.85546875" bestFit="1" customWidth="1"/>
    <col min="12" max="12" width="10.85546875" bestFit="1" customWidth="1"/>
    <col min="14" max="14" width="11.85546875" bestFit="1" customWidth="1"/>
    <col min="16" max="16" width="8.85546875" customWidth="1"/>
    <col min="18" max="19" width="11.85546875" bestFit="1" customWidth="1"/>
    <col min="20" max="20" width="10.85546875" bestFit="1" customWidth="1"/>
    <col min="21" max="21" width="10.140625" bestFit="1" customWidth="1"/>
    <col min="24" max="24" width="10.85546875" bestFit="1" customWidth="1"/>
  </cols>
  <sheetData>
    <row r="1" spans="1:33" s="4" customFormat="1" ht="15" customHeight="1" x14ac:dyDescent="0.25">
      <c r="A1" s="3" t="s">
        <v>0</v>
      </c>
      <c r="B1" s="3" t="s">
        <v>291</v>
      </c>
      <c r="C1" s="3" t="s">
        <v>292</v>
      </c>
      <c r="D1" s="3" t="s">
        <v>293</v>
      </c>
      <c r="E1" s="3" t="s">
        <v>294</v>
      </c>
      <c r="F1" s="3" t="s">
        <v>295</v>
      </c>
      <c r="G1" s="3" t="s">
        <v>296</v>
      </c>
      <c r="H1" s="3" t="s">
        <v>297</v>
      </c>
      <c r="I1" s="3" t="s">
        <v>298</v>
      </c>
      <c r="J1" s="3" t="s">
        <v>299</v>
      </c>
      <c r="K1" s="3" t="s">
        <v>300</v>
      </c>
      <c r="L1" s="3" t="s">
        <v>301</v>
      </c>
      <c r="M1" s="3" t="s">
        <v>302</v>
      </c>
      <c r="N1" s="3" t="s">
        <v>303</v>
      </c>
      <c r="O1" s="3" t="s">
        <v>304</v>
      </c>
      <c r="P1" s="3" t="s">
        <v>305</v>
      </c>
      <c r="Q1" s="3" t="s">
        <v>306</v>
      </c>
      <c r="R1" s="3" t="s">
        <v>307</v>
      </c>
      <c r="S1" s="3" t="s">
        <v>308</v>
      </c>
      <c r="T1" s="3" t="s">
        <v>309</v>
      </c>
      <c r="U1" s="3" t="s">
        <v>310</v>
      </c>
      <c r="V1" s="3" t="s">
        <v>311</v>
      </c>
      <c r="W1" s="3" t="s">
        <v>1</v>
      </c>
      <c r="X1" s="3" t="s">
        <v>312</v>
      </c>
      <c r="Y1" s="3" t="s">
        <v>313</v>
      </c>
      <c r="Z1" s="3" t="s">
        <v>314</v>
      </c>
      <c r="AA1" s="3" t="s">
        <v>315</v>
      </c>
      <c r="AB1" s="3" t="s">
        <v>316</v>
      </c>
      <c r="AC1" s="3" t="s">
        <v>317</v>
      </c>
      <c r="AD1" s="3" t="s">
        <v>318</v>
      </c>
      <c r="AE1" s="3" t="s">
        <v>319</v>
      </c>
      <c r="AF1" s="3" t="s">
        <v>320</v>
      </c>
      <c r="AG1" s="3" t="s">
        <v>321</v>
      </c>
    </row>
    <row r="2" spans="1:33" x14ac:dyDescent="0.25">
      <c r="A2" s="1" t="s">
        <v>2</v>
      </c>
      <c r="B2" s="1">
        <v>607.17088751999995</v>
      </c>
      <c r="C2" s="1">
        <v>77419.199999999997</v>
      </c>
      <c r="D2" s="2">
        <v>1137.9199999999998</v>
      </c>
      <c r="E2" s="2">
        <v>408.94</v>
      </c>
      <c r="F2" s="2">
        <v>30.987999999999996</v>
      </c>
      <c r="G2" s="2">
        <v>55.117999999999995</v>
      </c>
      <c r="H2" s="2">
        <v>75.183999999999997</v>
      </c>
      <c r="I2" s="2">
        <v>46.037499999999994</v>
      </c>
      <c r="J2" s="2">
        <v>16108156170.719999</v>
      </c>
      <c r="K2" s="2">
        <v>32774127.999999996</v>
      </c>
      <c r="L2" s="2">
        <v>28349620.719999999</v>
      </c>
      <c r="M2" s="2">
        <v>457.2</v>
      </c>
      <c r="N2" s="2">
        <v>632671766.91199994</v>
      </c>
      <c r="O2" s="1">
        <v>4866958.0079999994</v>
      </c>
      <c r="P2" s="2">
        <v>3097155.0959999999</v>
      </c>
      <c r="Q2" s="2">
        <v>90.423999999999992</v>
      </c>
      <c r="R2" s="1">
        <v>55775011.030399993</v>
      </c>
      <c r="S2" s="1">
        <v>185558283779206.31</v>
      </c>
      <c r="T2" s="1">
        <v>110967.51999999999</v>
      </c>
      <c r="U2" s="2">
        <v>624347138.39999998</v>
      </c>
      <c r="V2" s="2">
        <v>5637150.0159999998</v>
      </c>
      <c r="W2" s="1">
        <v>994</v>
      </c>
      <c r="X2" s="2">
        <v>16288741.615999999</v>
      </c>
      <c r="Y2" s="2">
        <v>109.982</v>
      </c>
      <c r="Z2" s="2">
        <v>1082.04</v>
      </c>
      <c r="AA2" s="2">
        <v>3403.6</v>
      </c>
      <c r="AB2" s="2">
        <v>3810</v>
      </c>
      <c r="AC2" s="2">
        <v>2692.3999999999996</v>
      </c>
      <c r="AD2" s="2">
        <v>3098.7999999999997</v>
      </c>
      <c r="AE2" s="2">
        <v>965.19999999999993</v>
      </c>
      <c r="AF2" s="2">
        <v>139.69999999999999</v>
      </c>
      <c r="AG2" s="2">
        <v>76.199999999999989</v>
      </c>
    </row>
    <row r="3" spans="1:33" x14ac:dyDescent="0.25">
      <c r="A3" s="1" t="s">
        <v>3</v>
      </c>
      <c r="B3" s="1">
        <v>547.64432992000002</v>
      </c>
      <c r="C3" s="1">
        <v>69677.279999999999</v>
      </c>
      <c r="D3" s="2">
        <v>1127.76</v>
      </c>
      <c r="E3" s="2">
        <v>406.4</v>
      </c>
      <c r="F3" s="2">
        <v>27.94</v>
      </c>
      <c r="G3" s="2">
        <v>50.037999999999997</v>
      </c>
      <c r="H3" s="2">
        <v>70.103999999999985</v>
      </c>
      <c r="I3" s="2">
        <v>44.449999999999996</v>
      </c>
      <c r="J3" s="2">
        <v>14443230468.319998</v>
      </c>
      <c r="K3" s="2">
        <v>29496715.199999996</v>
      </c>
      <c r="L3" s="2">
        <v>25563819.839999996</v>
      </c>
      <c r="M3" s="2">
        <v>454.65999999999991</v>
      </c>
      <c r="N3" s="2">
        <v>561912424.55999994</v>
      </c>
      <c r="O3" s="1">
        <v>4342571.96</v>
      </c>
      <c r="P3" s="2">
        <v>2769413.8159999996</v>
      </c>
      <c r="Q3" s="2">
        <v>89.915999999999997</v>
      </c>
      <c r="R3" s="1">
        <v>41623142.559999995</v>
      </c>
      <c r="S3" s="1">
        <v>163269806856378.34</v>
      </c>
      <c r="T3" s="1">
        <v>109677.2</v>
      </c>
      <c r="U3" s="2">
        <v>557750110.3039999</v>
      </c>
      <c r="V3" s="2">
        <v>5096376.9039999992</v>
      </c>
      <c r="W3" s="1">
        <v>894</v>
      </c>
      <c r="X3" s="2">
        <v>14650035.215999998</v>
      </c>
      <c r="Y3" s="2">
        <v>108.712</v>
      </c>
      <c r="Z3" s="2">
        <v>1076.9599999999998</v>
      </c>
      <c r="AA3" s="2">
        <v>3378.2</v>
      </c>
      <c r="AB3" s="2">
        <v>3784.6</v>
      </c>
      <c r="AC3" s="2">
        <v>2667</v>
      </c>
      <c r="AD3" s="2">
        <v>3073.3999999999996</v>
      </c>
      <c r="AE3" s="2">
        <v>965.19999999999993</v>
      </c>
      <c r="AF3" s="2">
        <v>139.69999999999999</v>
      </c>
      <c r="AG3" s="2">
        <v>76.199999999999989</v>
      </c>
    </row>
    <row r="4" spans="1:33" x14ac:dyDescent="0.25">
      <c r="A4" s="1" t="s">
        <v>4</v>
      </c>
      <c r="B4" s="1">
        <v>498.53491989999998</v>
      </c>
      <c r="C4" s="1">
        <v>63548.259999999995</v>
      </c>
      <c r="D4" s="2">
        <v>1117.5999999999999</v>
      </c>
      <c r="E4" s="2">
        <v>403.86</v>
      </c>
      <c r="F4" s="2">
        <v>26.161999999999999</v>
      </c>
      <c r="G4" s="2">
        <v>44.957999999999998</v>
      </c>
      <c r="H4" s="2">
        <v>65.024000000000001</v>
      </c>
      <c r="I4" s="2">
        <v>44.449999999999996</v>
      </c>
      <c r="J4" s="2">
        <v>12944797336.159998</v>
      </c>
      <c r="K4" s="2">
        <v>26547043.679999996</v>
      </c>
      <c r="L4" s="2">
        <v>23105760.239999998</v>
      </c>
      <c r="M4" s="2">
        <v>452.12</v>
      </c>
      <c r="N4" s="2">
        <v>499477710.71999997</v>
      </c>
      <c r="O4" s="1">
        <v>3867347.1039999998</v>
      </c>
      <c r="P4" s="2">
        <v>2458059.5999999996</v>
      </c>
      <c r="Q4" s="2">
        <v>88.646000000000001</v>
      </c>
      <c r="R4" s="1">
        <v>31092487.492319997</v>
      </c>
      <c r="S4" s="1">
        <v>143666688598951.34</v>
      </c>
      <c r="T4" s="1">
        <v>108386.87999999999</v>
      </c>
      <c r="U4" s="2">
        <v>491153082.20799994</v>
      </c>
      <c r="V4" s="2">
        <v>4555603.7919999994</v>
      </c>
      <c r="W4" s="1">
        <v>805</v>
      </c>
      <c r="X4" s="2">
        <v>13191586.52</v>
      </c>
      <c r="Y4" s="2">
        <v>107.696</v>
      </c>
      <c r="Z4" s="2">
        <v>1071.8800000000001</v>
      </c>
      <c r="AA4" s="2">
        <v>3352.7999999999997</v>
      </c>
      <c r="AB4" s="2">
        <v>3759.2</v>
      </c>
      <c r="AC4" s="2">
        <v>2641.6</v>
      </c>
      <c r="AD4" s="2">
        <v>3048</v>
      </c>
      <c r="AE4" s="2">
        <v>965.19999999999993</v>
      </c>
      <c r="AF4" s="2">
        <v>139.69999999999999</v>
      </c>
      <c r="AG4" s="2">
        <v>76.199999999999989</v>
      </c>
    </row>
    <row r="5" spans="1:33" x14ac:dyDescent="0.25">
      <c r="A5" s="1" t="s">
        <v>5</v>
      </c>
      <c r="B5" s="1">
        <v>431.56754259999997</v>
      </c>
      <c r="C5" s="1">
        <v>55096.664000000004</v>
      </c>
      <c r="D5" s="2">
        <v>1107.44</v>
      </c>
      <c r="E5" s="2">
        <v>401.32</v>
      </c>
      <c r="F5" s="2">
        <v>21.971</v>
      </c>
      <c r="G5" s="2">
        <v>40.131999999999998</v>
      </c>
      <c r="H5" s="2">
        <v>59.943999999999996</v>
      </c>
      <c r="I5" s="2">
        <v>41.274999999999999</v>
      </c>
      <c r="J5" s="2">
        <v>11238248491.199999</v>
      </c>
      <c r="K5" s="2">
        <v>23105760.239999998</v>
      </c>
      <c r="L5" s="2">
        <v>20319959.359999999</v>
      </c>
      <c r="M5" s="2">
        <v>452.12</v>
      </c>
      <c r="N5" s="2">
        <v>432880682.62399995</v>
      </c>
      <c r="O5" s="1">
        <v>3359348.1199999996</v>
      </c>
      <c r="P5" s="2">
        <v>2163092.4479999999</v>
      </c>
      <c r="Q5" s="2">
        <v>88.646000000000001</v>
      </c>
      <c r="R5" s="1">
        <v>21186179.563039996</v>
      </c>
      <c r="S5" s="1">
        <v>123795034474984.25</v>
      </c>
      <c r="T5" s="1">
        <v>107096.56</v>
      </c>
      <c r="U5" s="2">
        <v>432880682.62399995</v>
      </c>
      <c r="V5" s="2">
        <v>4063991.8719999995</v>
      </c>
      <c r="W5" s="1">
        <v>701</v>
      </c>
      <c r="X5" s="2">
        <v>11487331.863999998</v>
      </c>
      <c r="Y5" s="2">
        <v>106.67999999999999</v>
      </c>
      <c r="Z5" s="2">
        <v>1066.8</v>
      </c>
      <c r="AA5" s="2">
        <v>3327.3999999999996</v>
      </c>
      <c r="AB5" s="2">
        <v>3733.7999999999997</v>
      </c>
      <c r="AC5" s="2">
        <v>2616.1999999999998</v>
      </c>
      <c r="AD5" s="2">
        <v>3022.6</v>
      </c>
      <c r="AE5" s="2">
        <v>965.19999999999993</v>
      </c>
      <c r="AF5" s="2">
        <v>139.69999999999999</v>
      </c>
      <c r="AG5" s="2">
        <v>76.199999999999989</v>
      </c>
    </row>
    <row r="6" spans="1:33" x14ac:dyDescent="0.25">
      <c r="A6" s="1" t="s">
        <v>6</v>
      </c>
      <c r="B6" s="1">
        <v>389.89895228</v>
      </c>
      <c r="C6" s="1">
        <v>49806.351999999999</v>
      </c>
      <c r="D6" s="2">
        <v>1099.82</v>
      </c>
      <c r="E6" s="2">
        <v>401.32</v>
      </c>
      <c r="F6" s="2">
        <v>19.939</v>
      </c>
      <c r="G6" s="2">
        <v>36.067999999999998</v>
      </c>
      <c r="H6" s="2">
        <v>55.88</v>
      </c>
      <c r="I6" s="2">
        <v>41.274999999999999</v>
      </c>
      <c r="J6" s="2">
        <v>10031177356.959999</v>
      </c>
      <c r="K6" s="2">
        <v>20811571.279999997</v>
      </c>
      <c r="L6" s="2">
        <v>18189641.039999999</v>
      </c>
      <c r="M6" s="2">
        <v>449.58</v>
      </c>
      <c r="N6" s="2">
        <v>384181605.82879996</v>
      </c>
      <c r="O6" s="1">
        <v>2982445.6479999996</v>
      </c>
      <c r="P6" s="2">
        <v>1917286.4879999999</v>
      </c>
      <c r="Q6" s="2">
        <v>88.138000000000005</v>
      </c>
      <c r="R6" s="1">
        <v>15525432.174879998</v>
      </c>
      <c r="S6" s="1">
        <v>108757025948738.88</v>
      </c>
      <c r="T6" s="1">
        <v>106451.4</v>
      </c>
      <c r="U6" s="2">
        <v>386262762.95679998</v>
      </c>
      <c r="V6" s="2">
        <v>3654315.2719999999</v>
      </c>
      <c r="W6" s="1">
        <v>630</v>
      </c>
      <c r="X6" s="2">
        <v>10323850.319999998</v>
      </c>
      <c r="Y6" s="2">
        <v>105.91799999999999</v>
      </c>
      <c r="Z6" s="2">
        <v>1064.26</v>
      </c>
      <c r="AA6" s="2">
        <v>3327.3999999999996</v>
      </c>
      <c r="AB6" s="2">
        <v>3733.7999999999997</v>
      </c>
      <c r="AC6" s="2">
        <v>2590.7999999999997</v>
      </c>
      <c r="AD6" s="2">
        <v>2997.2</v>
      </c>
      <c r="AE6" s="2">
        <v>965.19999999999993</v>
      </c>
      <c r="AF6" s="2">
        <v>139.69999999999999</v>
      </c>
      <c r="AG6" s="2">
        <v>76.199999999999989</v>
      </c>
    </row>
    <row r="7" spans="1:33" x14ac:dyDescent="0.25">
      <c r="A7" s="1" t="s">
        <v>7</v>
      </c>
      <c r="B7" s="1">
        <v>342.27770620000001</v>
      </c>
      <c r="C7" s="1">
        <v>43741.847999999998</v>
      </c>
      <c r="D7" s="2">
        <v>1089.6599999999999</v>
      </c>
      <c r="E7" s="2">
        <v>401.32</v>
      </c>
      <c r="F7" s="2">
        <v>18.033999999999999</v>
      </c>
      <c r="G7" s="2">
        <v>30.987999999999996</v>
      </c>
      <c r="H7" s="2">
        <v>51.053999999999995</v>
      </c>
      <c r="I7" s="2">
        <v>39.6875</v>
      </c>
      <c r="J7" s="2">
        <v>8657613652.4799995</v>
      </c>
      <c r="K7" s="2">
        <v>18025770.399999999</v>
      </c>
      <c r="L7" s="2">
        <v>15911839.143999999</v>
      </c>
      <c r="M7" s="2">
        <v>444.5</v>
      </c>
      <c r="N7" s="2">
        <v>331320214.77759999</v>
      </c>
      <c r="O7" s="1">
        <v>2572769.048</v>
      </c>
      <c r="P7" s="2">
        <v>1655093.4639999999</v>
      </c>
      <c r="Q7" s="2">
        <v>87.122</v>
      </c>
      <c r="R7" s="1">
        <v>10364162.497439999</v>
      </c>
      <c r="S7" s="1">
        <v>92913409822873.203</v>
      </c>
      <c r="T7" s="1">
        <v>106451.4</v>
      </c>
      <c r="U7" s="2">
        <v>330071520.50079995</v>
      </c>
      <c r="V7" s="2">
        <v>3146316.2879999997</v>
      </c>
      <c r="W7" s="1">
        <v>547</v>
      </c>
      <c r="X7" s="2">
        <v>8963724.0079999994</v>
      </c>
      <c r="Y7" s="2">
        <v>104.90199999999999</v>
      </c>
      <c r="Z7" s="2">
        <v>1059.18</v>
      </c>
      <c r="AA7" s="2">
        <v>3302</v>
      </c>
      <c r="AB7" s="2">
        <v>3708.3999999999996</v>
      </c>
      <c r="AC7" s="2">
        <v>2590.7999999999997</v>
      </c>
      <c r="AD7" s="2">
        <v>2997.2</v>
      </c>
      <c r="AE7" s="2">
        <v>965.19999999999993</v>
      </c>
      <c r="AF7" s="2">
        <v>139.69999999999999</v>
      </c>
      <c r="AG7" s="2">
        <v>76.199999999999989</v>
      </c>
    </row>
    <row r="8" spans="1:33" x14ac:dyDescent="0.25">
      <c r="A8" s="1" t="s">
        <v>8</v>
      </c>
      <c r="B8" s="1">
        <v>974.74738070000001</v>
      </c>
      <c r="C8" s="1">
        <v>124515.87999999999</v>
      </c>
      <c r="D8" s="2">
        <v>1107.44</v>
      </c>
      <c r="E8" s="2">
        <v>429.25999999999993</v>
      </c>
      <c r="F8" s="2">
        <v>50.037999999999997</v>
      </c>
      <c r="G8" s="2">
        <v>89.915999999999997</v>
      </c>
      <c r="H8" s="2">
        <v>119.88799999999999</v>
      </c>
      <c r="I8" s="2">
        <v>55.5625</v>
      </c>
      <c r="J8" s="2">
        <v>23517075546.399998</v>
      </c>
      <c r="K8" s="2">
        <v>50472157.119999997</v>
      </c>
      <c r="L8" s="2">
        <v>42442495.759999998</v>
      </c>
      <c r="M8" s="2">
        <v>434.34000000000003</v>
      </c>
      <c r="N8" s="2">
        <v>1194584191.4719999</v>
      </c>
      <c r="O8" s="1">
        <v>8881788.6879999992</v>
      </c>
      <c r="P8" s="2">
        <v>5571601.7599999998</v>
      </c>
      <c r="Q8" s="2">
        <v>98.043999999999997</v>
      </c>
      <c r="R8" s="1">
        <v>245160309.67839998</v>
      </c>
      <c r="S8" s="1">
        <v>308816246521110.38</v>
      </c>
      <c r="T8" s="1">
        <v>109032.04</v>
      </c>
      <c r="U8" s="2">
        <v>1053065506.7679999</v>
      </c>
      <c r="V8" s="2">
        <v>8668756.8559999987</v>
      </c>
      <c r="W8" s="1">
        <v>1530</v>
      </c>
      <c r="X8" s="2">
        <v>25072207.919999998</v>
      </c>
      <c r="Y8" s="2">
        <v>119.63399999999999</v>
      </c>
      <c r="Z8" s="2">
        <v>1018.54</v>
      </c>
      <c r="AA8" s="2">
        <v>3352.7999999999997</v>
      </c>
      <c r="AB8" s="2">
        <v>3784.6</v>
      </c>
      <c r="AC8" s="2">
        <v>2641.6</v>
      </c>
      <c r="AD8" s="2">
        <v>3073.3999999999996</v>
      </c>
      <c r="AE8" s="2">
        <v>863.59999999999991</v>
      </c>
      <c r="AF8" s="2">
        <v>190.5</v>
      </c>
      <c r="AG8" s="2">
        <v>76.199999999999989</v>
      </c>
    </row>
    <row r="9" spans="1:33" x14ac:dyDescent="0.25">
      <c r="A9" s="1" t="s">
        <v>9</v>
      </c>
      <c r="B9" s="1">
        <v>882.48121642000001</v>
      </c>
      <c r="C9" s="1">
        <v>112257.84</v>
      </c>
      <c r="D9" s="2">
        <v>1092.2</v>
      </c>
      <c r="E9" s="2">
        <v>424.17999999999995</v>
      </c>
      <c r="F9" s="2">
        <v>45.466000000000001</v>
      </c>
      <c r="G9" s="2">
        <v>82.042000000000002</v>
      </c>
      <c r="H9" s="2">
        <v>112.014</v>
      </c>
      <c r="I9" s="2">
        <v>53.974999999999994</v>
      </c>
      <c r="J9" s="2">
        <v>20978063850.239998</v>
      </c>
      <c r="K9" s="2">
        <v>45228296.639999993</v>
      </c>
      <c r="L9" s="2">
        <v>38345729.759999998</v>
      </c>
      <c r="M9" s="2">
        <v>431.79999999999995</v>
      </c>
      <c r="N9" s="2">
        <v>1048903192.5119998</v>
      </c>
      <c r="O9" s="1">
        <v>7882177.7839999991</v>
      </c>
      <c r="P9" s="2">
        <v>4948893.3279999997</v>
      </c>
      <c r="Q9" s="2">
        <v>96.52</v>
      </c>
      <c r="R9" s="1">
        <v>185222984.39199999</v>
      </c>
      <c r="S9" s="1">
        <v>267730258940475.69</v>
      </c>
      <c r="T9" s="1">
        <v>107096.56</v>
      </c>
      <c r="U9" s="2">
        <v>932358393.34399986</v>
      </c>
      <c r="V9" s="2">
        <v>7849403.6559999995</v>
      </c>
      <c r="W9" s="1">
        <v>1370</v>
      </c>
      <c r="X9" s="2">
        <v>22450277.68</v>
      </c>
      <c r="Y9" s="2">
        <v>117.60199999999999</v>
      </c>
      <c r="Z9" s="2">
        <v>1010.9199999999998</v>
      </c>
      <c r="AA9" s="2">
        <v>3302</v>
      </c>
      <c r="AB9" s="2">
        <v>3733.7999999999997</v>
      </c>
      <c r="AC9" s="2">
        <v>2616.1999999999998</v>
      </c>
      <c r="AD9" s="2">
        <v>3048</v>
      </c>
      <c r="AE9" s="2">
        <v>863.59999999999991</v>
      </c>
      <c r="AF9" s="2">
        <v>190.5</v>
      </c>
      <c r="AG9" s="2">
        <v>76.199999999999989</v>
      </c>
    </row>
    <row r="10" spans="1:33" x14ac:dyDescent="0.25">
      <c r="A10" s="1" t="s">
        <v>10</v>
      </c>
      <c r="B10" s="1">
        <v>748.54646181999999</v>
      </c>
      <c r="C10" s="1">
        <v>95483.68</v>
      </c>
      <c r="D10" s="2">
        <v>1069.3399999999999</v>
      </c>
      <c r="E10" s="2">
        <v>416.55999999999995</v>
      </c>
      <c r="F10" s="2">
        <v>39.116</v>
      </c>
      <c r="G10" s="2">
        <v>70.103999999999985</v>
      </c>
      <c r="H10" s="2">
        <v>100.07599999999999</v>
      </c>
      <c r="I10" s="2">
        <v>50.8</v>
      </c>
      <c r="J10" s="2">
        <v>17315227304.959999</v>
      </c>
      <c r="K10" s="2">
        <v>38017988.479999997</v>
      </c>
      <c r="L10" s="2">
        <v>32446386.719999999</v>
      </c>
      <c r="M10" s="2">
        <v>426.71999999999997</v>
      </c>
      <c r="N10" s="2">
        <v>849112108.22399986</v>
      </c>
      <c r="O10" s="1">
        <v>6456503.2159999991</v>
      </c>
      <c r="P10" s="2">
        <v>4080378.9359999998</v>
      </c>
      <c r="Q10" s="2">
        <v>94.488</v>
      </c>
      <c r="R10" s="1">
        <v>115296104.89119999</v>
      </c>
      <c r="S10" s="1">
        <v>211874798700135.72</v>
      </c>
      <c r="T10" s="1">
        <v>103870.76</v>
      </c>
      <c r="U10" s="2">
        <v>761703508.84799993</v>
      </c>
      <c r="V10" s="2">
        <v>6603986.7919999994</v>
      </c>
      <c r="W10" s="1">
        <v>1150</v>
      </c>
      <c r="X10" s="2">
        <v>18845123.599999998</v>
      </c>
      <c r="Y10" s="2">
        <v>114.3</v>
      </c>
      <c r="Z10" s="2">
        <v>998.21999999999991</v>
      </c>
      <c r="AA10" s="2">
        <v>3276.6</v>
      </c>
      <c r="AB10" s="2">
        <v>3683</v>
      </c>
      <c r="AC10" s="2">
        <v>2565.3999999999996</v>
      </c>
      <c r="AD10" s="2">
        <v>2971.7999999999997</v>
      </c>
      <c r="AE10" s="2">
        <v>863.59999999999991</v>
      </c>
      <c r="AF10" s="2">
        <v>190.5</v>
      </c>
      <c r="AG10" s="2">
        <v>76.199999999999989</v>
      </c>
    </row>
    <row r="11" spans="1:33" x14ac:dyDescent="0.25">
      <c r="A11" s="1" t="s">
        <v>11</v>
      </c>
      <c r="B11" s="1">
        <v>641.39865813999995</v>
      </c>
      <c r="C11" s="1">
        <v>81935.319999999992</v>
      </c>
      <c r="D11" s="2">
        <v>1049.02</v>
      </c>
      <c r="E11" s="2">
        <v>411.47999999999996</v>
      </c>
      <c r="F11" s="2">
        <v>34.036000000000001</v>
      </c>
      <c r="G11" s="2">
        <v>59.943999999999996</v>
      </c>
      <c r="H11" s="2">
        <v>89.915999999999997</v>
      </c>
      <c r="I11" s="2">
        <v>47.625</v>
      </c>
      <c r="J11" s="2">
        <v>14484853610.879999</v>
      </c>
      <c r="K11" s="2">
        <v>32118645.439999998</v>
      </c>
      <c r="L11" s="2">
        <v>27694138.159999996</v>
      </c>
      <c r="M11" s="2">
        <v>421.64</v>
      </c>
      <c r="N11" s="2">
        <v>703431109.26399994</v>
      </c>
      <c r="O11" s="1">
        <v>5374956.9919999996</v>
      </c>
      <c r="P11" s="2">
        <v>3408509.3119999999</v>
      </c>
      <c r="Q11" s="2">
        <v>92.71</v>
      </c>
      <c r="R11" s="1">
        <v>73672962.331199989</v>
      </c>
      <c r="S11" s="1">
        <v>171325882852581.25</v>
      </c>
      <c r="T11" s="1">
        <v>101935.28</v>
      </c>
      <c r="U11" s="2">
        <v>628509452.6559999</v>
      </c>
      <c r="V11" s="2">
        <v>5587988.8239999991</v>
      </c>
      <c r="W11" s="1">
        <v>969</v>
      </c>
      <c r="X11" s="2">
        <v>15879065.015999999</v>
      </c>
      <c r="Y11" s="2">
        <v>112.014</v>
      </c>
      <c r="Z11" s="2">
        <v>988.06</v>
      </c>
      <c r="AA11" s="2">
        <v>3225.7999999999997</v>
      </c>
      <c r="AB11" s="2">
        <v>3632.2</v>
      </c>
      <c r="AC11" s="2">
        <v>2509.52</v>
      </c>
      <c r="AD11" s="2">
        <v>2921</v>
      </c>
      <c r="AE11" s="2">
        <v>863.59999999999991</v>
      </c>
      <c r="AF11" s="2">
        <v>190.5</v>
      </c>
      <c r="AG11" s="2">
        <v>76.199999999999989</v>
      </c>
    </row>
    <row r="12" spans="1:33" x14ac:dyDescent="0.25">
      <c r="A12" s="1" t="s">
        <v>12</v>
      </c>
      <c r="B12" s="1">
        <v>590.80108417999998</v>
      </c>
      <c r="C12" s="1">
        <v>75483.72</v>
      </c>
      <c r="D12" s="2">
        <v>1041.3999999999999</v>
      </c>
      <c r="E12" s="2">
        <v>408.94</v>
      </c>
      <c r="F12" s="2">
        <v>30.987999999999996</v>
      </c>
      <c r="G12" s="2">
        <v>55.88</v>
      </c>
      <c r="H12" s="2">
        <v>85.85199999999999</v>
      </c>
      <c r="I12" s="2">
        <v>46.037499999999994</v>
      </c>
      <c r="J12" s="2">
        <v>13319405619.199999</v>
      </c>
      <c r="K12" s="2">
        <v>29496715.199999996</v>
      </c>
      <c r="L12" s="2">
        <v>25563819.839999996</v>
      </c>
      <c r="M12" s="2">
        <v>421.64</v>
      </c>
      <c r="N12" s="2">
        <v>640996395.42399991</v>
      </c>
      <c r="O12" s="1">
        <v>4916119.1999999993</v>
      </c>
      <c r="P12" s="2">
        <v>3129929.2239999999</v>
      </c>
      <c r="Q12" s="2">
        <v>92.456000000000003</v>
      </c>
      <c r="R12" s="1">
        <v>59104862.435199991</v>
      </c>
      <c r="S12" s="1">
        <v>155482266726715.56</v>
      </c>
      <c r="T12" s="1">
        <v>100644.95999999999</v>
      </c>
      <c r="U12" s="2">
        <v>574399367.32799995</v>
      </c>
      <c r="V12" s="2">
        <v>5211086.352</v>
      </c>
      <c r="W12" s="1">
        <v>891</v>
      </c>
      <c r="X12" s="2">
        <v>14600874.023999998</v>
      </c>
      <c r="Y12" s="2">
        <v>111.252</v>
      </c>
      <c r="Z12" s="2">
        <v>985.51999999999987</v>
      </c>
      <c r="AA12" s="2">
        <v>3200.3999999999996</v>
      </c>
      <c r="AB12" s="2">
        <v>3606.7999999999997</v>
      </c>
      <c r="AC12" s="2">
        <v>2491.7399999999998</v>
      </c>
      <c r="AD12" s="2">
        <v>2895.6</v>
      </c>
      <c r="AE12" s="2">
        <v>863.59999999999991</v>
      </c>
      <c r="AF12" s="2">
        <v>190.5</v>
      </c>
      <c r="AG12" s="2">
        <v>76.199999999999989</v>
      </c>
    </row>
    <row r="13" spans="1:33" x14ac:dyDescent="0.25">
      <c r="A13" s="1" t="s">
        <v>13</v>
      </c>
      <c r="B13" s="1">
        <v>553.59698567999999</v>
      </c>
      <c r="C13" s="1">
        <v>70967.599999999991</v>
      </c>
      <c r="D13" s="2">
        <v>1031.24</v>
      </c>
      <c r="E13" s="2">
        <v>408.94</v>
      </c>
      <c r="F13" s="2">
        <v>29.463999999999995</v>
      </c>
      <c r="G13" s="2">
        <v>52.069999999999993</v>
      </c>
      <c r="H13" s="2">
        <v>82.042000000000002</v>
      </c>
      <c r="I13" s="2">
        <v>46.037499999999994</v>
      </c>
      <c r="J13" s="2">
        <v>12320450197.759998</v>
      </c>
      <c r="K13" s="2">
        <v>27530267.519999996</v>
      </c>
      <c r="L13" s="2">
        <v>23925113.439999998</v>
      </c>
      <c r="M13" s="2">
        <v>419.09999999999997</v>
      </c>
      <c r="N13" s="2">
        <v>591048624.352</v>
      </c>
      <c r="O13" s="1">
        <v>4539216.7279999992</v>
      </c>
      <c r="P13" s="2">
        <v>2900510.3279999997</v>
      </c>
      <c r="Q13" s="2">
        <v>91.44</v>
      </c>
      <c r="R13" s="1">
        <v>48282845.369599998</v>
      </c>
      <c r="S13" s="1">
        <v>141786937533170.69</v>
      </c>
      <c r="T13" s="1">
        <v>99999.799999999988</v>
      </c>
      <c r="U13" s="2">
        <v>532776224.76799995</v>
      </c>
      <c r="V13" s="2">
        <v>4834183.88</v>
      </c>
      <c r="W13" s="1">
        <v>829</v>
      </c>
      <c r="X13" s="2">
        <v>13584876.055999998</v>
      </c>
      <c r="Y13" s="2">
        <v>109.982</v>
      </c>
      <c r="Z13" s="2">
        <v>980.43999999999994</v>
      </c>
      <c r="AA13" s="2">
        <v>3175</v>
      </c>
      <c r="AB13" s="2">
        <v>3581.3999999999996</v>
      </c>
      <c r="AC13" s="2">
        <v>2471.4199999999996</v>
      </c>
      <c r="AD13" s="2">
        <v>2870.2</v>
      </c>
      <c r="AE13" s="2">
        <v>863.59999999999991</v>
      </c>
      <c r="AF13" s="2">
        <v>190.5</v>
      </c>
      <c r="AG13" s="2">
        <v>76.199999999999989</v>
      </c>
    </row>
    <row r="14" spans="1:33" x14ac:dyDescent="0.25">
      <c r="A14" s="1" t="s">
        <v>14</v>
      </c>
      <c r="B14" s="1">
        <v>538.71534627999995</v>
      </c>
      <c r="C14" s="1">
        <v>68386.959999999992</v>
      </c>
      <c r="D14" s="2">
        <v>1031.24</v>
      </c>
      <c r="E14" s="2">
        <v>406.4</v>
      </c>
      <c r="F14" s="2">
        <v>28.448</v>
      </c>
      <c r="G14" s="2">
        <v>51.053999999999995</v>
      </c>
      <c r="H14" s="2">
        <v>81.025999999999996</v>
      </c>
      <c r="I14" s="2">
        <v>44.449999999999996</v>
      </c>
      <c r="J14" s="2">
        <v>12029088199.839998</v>
      </c>
      <c r="K14" s="2">
        <v>26874784.959999997</v>
      </c>
      <c r="L14" s="2">
        <v>23269630.879999999</v>
      </c>
      <c r="M14" s="2">
        <v>419.09999999999997</v>
      </c>
      <c r="N14" s="2">
        <v>574399367.32799995</v>
      </c>
      <c r="O14" s="1">
        <v>4424507.2799999993</v>
      </c>
      <c r="P14" s="2">
        <v>2834962.0719999997</v>
      </c>
      <c r="Q14" s="2">
        <v>91.44</v>
      </c>
      <c r="R14" s="1">
        <v>45369225.390399992</v>
      </c>
      <c r="S14" s="1">
        <v>137758899535069.23</v>
      </c>
      <c r="T14" s="1">
        <v>99354.64</v>
      </c>
      <c r="U14" s="2">
        <v>516126967.74399996</v>
      </c>
      <c r="V14" s="2">
        <v>4735861.4959999993</v>
      </c>
      <c r="W14" s="1">
        <v>808</v>
      </c>
      <c r="X14" s="2">
        <v>13240747.711999999</v>
      </c>
      <c r="Y14" s="2">
        <v>109.982</v>
      </c>
      <c r="Z14" s="2">
        <v>980.43999999999994</v>
      </c>
      <c r="AA14" s="2">
        <v>3175</v>
      </c>
      <c r="AB14" s="2">
        <v>3581.3999999999996</v>
      </c>
      <c r="AC14" s="2">
        <v>2468.88</v>
      </c>
      <c r="AD14" s="2">
        <v>2870.2</v>
      </c>
      <c r="AE14" s="2">
        <v>863.59999999999991</v>
      </c>
      <c r="AF14" s="2">
        <v>190.5</v>
      </c>
      <c r="AG14" s="2">
        <v>76.199999999999989</v>
      </c>
    </row>
    <row r="15" spans="1:33" x14ac:dyDescent="0.25">
      <c r="A15" s="1" t="s">
        <v>15</v>
      </c>
      <c r="B15" s="1">
        <v>482.16511656</v>
      </c>
      <c r="C15" s="1">
        <v>61483.747999999992</v>
      </c>
      <c r="D15" s="2">
        <v>1021.08</v>
      </c>
      <c r="E15" s="2">
        <v>403.86</v>
      </c>
      <c r="F15" s="2">
        <v>25.4</v>
      </c>
      <c r="G15" s="2">
        <v>45.973999999999997</v>
      </c>
      <c r="H15" s="2">
        <v>75.945999999999998</v>
      </c>
      <c r="I15" s="2">
        <v>42.862499999999997</v>
      </c>
      <c r="J15" s="2">
        <v>10655524495.359999</v>
      </c>
      <c r="K15" s="2">
        <v>23925113.439999998</v>
      </c>
      <c r="L15" s="2">
        <v>20975441.919999998</v>
      </c>
      <c r="M15" s="2">
        <v>416.55999999999995</v>
      </c>
      <c r="N15" s="2">
        <v>507802339.23199993</v>
      </c>
      <c r="O15" s="1">
        <v>3916508.2959999996</v>
      </c>
      <c r="P15" s="2">
        <v>2507220.7919999999</v>
      </c>
      <c r="Q15" s="2">
        <v>90.932000000000002</v>
      </c>
      <c r="R15" s="1">
        <v>33048775.192639999</v>
      </c>
      <c r="S15" s="1">
        <v>120304068209963</v>
      </c>
      <c r="T15" s="1">
        <v>98709.48</v>
      </c>
      <c r="U15" s="2">
        <v>457854568.15999997</v>
      </c>
      <c r="V15" s="2">
        <v>4244249.5759999994</v>
      </c>
      <c r="W15" s="1">
        <v>720</v>
      </c>
      <c r="X15" s="2">
        <v>11798686.079999998</v>
      </c>
      <c r="Y15" s="2">
        <v>108.45799999999998</v>
      </c>
      <c r="Z15" s="2">
        <v>975.3599999999999</v>
      </c>
      <c r="AA15" s="2">
        <v>3149.6</v>
      </c>
      <c r="AB15" s="2">
        <v>3556</v>
      </c>
      <c r="AC15" s="2">
        <v>2446.02</v>
      </c>
      <c r="AD15" s="2">
        <v>2844.7999999999997</v>
      </c>
      <c r="AE15" s="2">
        <v>863.59999999999991</v>
      </c>
      <c r="AF15" s="2">
        <v>190.5</v>
      </c>
      <c r="AG15" s="2">
        <v>76.199999999999989</v>
      </c>
    </row>
    <row r="16" spans="1:33" x14ac:dyDescent="0.25">
      <c r="A16" s="1" t="s">
        <v>16</v>
      </c>
      <c r="B16" s="1">
        <v>441.98469017999997</v>
      </c>
      <c r="C16" s="1">
        <v>56322.467999999993</v>
      </c>
      <c r="D16" s="2">
        <v>1010.9199999999998</v>
      </c>
      <c r="E16" s="2">
        <v>401.32</v>
      </c>
      <c r="F16" s="2">
        <v>23.622</v>
      </c>
      <c r="G16" s="2">
        <v>41.91</v>
      </c>
      <c r="H16" s="2">
        <v>71.881999999999991</v>
      </c>
      <c r="I16" s="2">
        <v>42.862499999999997</v>
      </c>
      <c r="J16" s="2">
        <v>9656569073.9199982</v>
      </c>
      <c r="K16" s="2">
        <v>21794795.119999997</v>
      </c>
      <c r="L16" s="2">
        <v>19172864.879999999</v>
      </c>
      <c r="M16" s="2">
        <v>414.02</v>
      </c>
      <c r="N16" s="2">
        <v>453692253.90399998</v>
      </c>
      <c r="O16" s="1">
        <v>3523218.76</v>
      </c>
      <c r="P16" s="2">
        <v>2261414.8319999999</v>
      </c>
      <c r="Q16" s="2">
        <v>89.915999999999997</v>
      </c>
      <c r="R16" s="1">
        <v>25473363.246719997</v>
      </c>
      <c r="S16" s="1">
        <v>107145810749498.3</v>
      </c>
      <c r="T16" s="1">
        <v>97419.159999999989</v>
      </c>
      <c r="U16" s="2">
        <v>408739259.93919998</v>
      </c>
      <c r="V16" s="2">
        <v>3834572.9759999998</v>
      </c>
      <c r="W16" s="1">
        <v>652</v>
      </c>
      <c r="X16" s="2">
        <v>10684365.727999998</v>
      </c>
      <c r="Y16" s="2">
        <v>107.18799999999999</v>
      </c>
      <c r="Z16" s="2">
        <v>970.28</v>
      </c>
      <c r="AA16" s="2">
        <v>3124.2</v>
      </c>
      <c r="AB16" s="2">
        <v>3530.6</v>
      </c>
      <c r="AC16" s="2">
        <v>2423.16</v>
      </c>
      <c r="AD16" s="2">
        <v>2819.3999999999996</v>
      </c>
      <c r="AE16" s="2">
        <v>863.59999999999991</v>
      </c>
      <c r="AF16" s="2">
        <v>190.5</v>
      </c>
      <c r="AG16" s="2">
        <v>76.199999999999989</v>
      </c>
    </row>
    <row r="17" spans="1:33" x14ac:dyDescent="0.25">
      <c r="A17" s="1" t="s">
        <v>17</v>
      </c>
      <c r="B17" s="1">
        <v>412.22141138000001</v>
      </c>
      <c r="C17" s="1">
        <v>52580.54</v>
      </c>
      <c r="D17" s="2">
        <v>1008.38</v>
      </c>
      <c r="E17" s="2">
        <v>401.32</v>
      </c>
      <c r="F17" s="2">
        <v>21.081999999999997</v>
      </c>
      <c r="G17" s="2">
        <v>40.131999999999998</v>
      </c>
      <c r="H17" s="2">
        <v>70.103999999999985</v>
      </c>
      <c r="I17" s="2">
        <v>41.274999999999999</v>
      </c>
      <c r="J17" s="2">
        <v>9115468220.6399994</v>
      </c>
      <c r="K17" s="2">
        <v>20483829.999999996</v>
      </c>
      <c r="L17" s="2">
        <v>18025770.399999999</v>
      </c>
      <c r="M17" s="2">
        <v>416.55999999999995</v>
      </c>
      <c r="N17" s="2">
        <v>432880682.62399995</v>
      </c>
      <c r="O17" s="1">
        <v>3342961.0559999999</v>
      </c>
      <c r="P17" s="2">
        <v>2163092.4479999999</v>
      </c>
      <c r="Q17" s="2">
        <v>90.932000000000002</v>
      </c>
      <c r="R17" s="1">
        <v>21435918.418399997</v>
      </c>
      <c r="S17" s="1">
        <v>101775093418696.38</v>
      </c>
      <c r="T17" s="1">
        <v>97419.159999999989</v>
      </c>
      <c r="U17" s="2">
        <v>391257540.06399995</v>
      </c>
      <c r="V17" s="2">
        <v>3687089.3999999994</v>
      </c>
      <c r="W17" s="1">
        <v>614</v>
      </c>
      <c r="X17" s="2">
        <v>10061657.295999998</v>
      </c>
      <c r="Y17" s="2">
        <v>107.94999999999999</v>
      </c>
      <c r="Z17" s="2">
        <v>967.74</v>
      </c>
      <c r="AA17" s="2">
        <v>3124.2</v>
      </c>
      <c r="AB17" s="2">
        <v>3530.6</v>
      </c>
      <c r="AC17" s="2">
        <v>2418.08</v>
      </c>
      <c r="AD17" s="2">
        <v>2819.3999999999996</v>
      </c>
      <c r="AE17" s="2">
        <v>863.59999999999991</v>
      </c>
      <c r="AF17" s="2">
        <v>190.5</v>
      </c>
      <c r="AG17" s="2">
        <v>76.199999999999989</v>
      </c>
    </row>
    <row r="18" spans="1:33" x14ac:dyDescent="0.25">
      <c r="A18" s="1" t="s">
        <v>18</v>
      </c>
      <c r="B18" s="1">
        <v>370.55282105999999</v>
      </c>
      <c r="C18" s="1">
        <v>47419.259999999995</v>
      </c>
      <c r="D18" s="2">
        <v>1000.7599999999999</v>
      </c>
      <c r="E18" s="2">
        <v>401.32</v>
      </c>
      <c r="F18" s="2">
        <v>19.049999999999997</v>
      </c>
      <c r="G18" s="2">
        <v>36.067999999999998</v>
      </c>
      <c r="H18" s="2">
        <v>66.039999999999992</v>
      </c>
      <c r="I18" s="2">
        <v>39.6875</v>
      </c>
      <c r="J18" s="2">
        <v>8158135941.7599993</v>
      </c>
      <c r="K18" s="2">
        <v>18353511.68</v>
      </c>
      <c r="L18" s="2">
        <v>16272354.551999999</v>
      </c>
      <c r="M18" s="2">
        <v>414.02</v>
      </c>
      <c r="N18" s="2">
        <v>385430300.10559994</v>
      </c>
      <c r="O18" s="1">
        <v>2982445.6479999996</v>
      </c>
      <c r="P18" s="2">
        <v>1933673.5519999999</v>
      </c>
      <c r="Q18" s="2">
        <v>90.169999999999987</v>
      </c>
      <c r="R18" s="1">
        <v>15858417.315359998</v>
      </c>
      <c r="S18" s="1">
        <v>89690979424392.063</v>
      </c>
      <c r="T18" s="1">
        <v>96774</v>
      </c>
      <c r="U18" s="2">
        <v>350050628.92959994</v>
      </c>
      <c r="V18" s="2">
        <v>3326573.9919999996</v>
      </c>
      <c r="W18" s="1">
        <v>551</v>
      </c>
      <c r="X18" s="2">
        <v>9029272.2639999986</v>
      </c>
      <c r="Y18" s="2">
        <v>106.934</v>
      </c>
      <c r="Z18" s="2">
        <v>965.19999999999993</v>
      </c>
      <c r="AA18" s="2">
        <v>3098.7999999999997</v>
      </c>
      <c r="AB18" s="2">
        <v>3505.2</v>
      </c>
      <c r="AC18" s="2">
        <v>2402.8399999999997</v>
      </c>
      <c r="AD18" s="2">
        <v>2794</v>
      </c>
      <c r="AE18" s="2">
        <v>863.59999999999991</v>
      </c>
      <c r="AF18" s="2">
        <v>190.5</v>
      </c>
      <c r="AG18" s="2">
        <v>76.199999999999989</v>
      </c>
    </row>
    <row r="19" spans="1:33" x14ac:dyDescent="0.25">
      <c r="A19" s="1" t="s">
        <v>19</v>
      </c>
      <c r="B19" s="1">
        <v>319.95524710000001</v>
      </c>
      <c r="C19" s="1">
        <v>40967.659999999996</v>
      </c>
      <c r="D19" s="2">
        <v>990.59999999999991</v>
      </c>
      <c r="E19" s="2">
        <v>401.32</v>
      </c>
      <c r="F19" s="2">
        <v>16.509999999999998</v>
      </c>
      <c r="G19" s="2">
        <v>30.987999999999996</v>
      </c>
      <c r="H19" s="2">
        <v>60.959999999999994</v>
      </c>
      <c r="I19" s="2">
        <v>39.6875</v>
      </c>
      <c r="J19" s="2">
        <v>6951064807.5199995</v>
      </c>
      <c r="K19" s="2">
        <v>15797129.695999999</v>
      </c>
      <c r="L19" s="2">
        <v>14076487.975999998</v>
      </c>
      <c r="M19" s="2">
        <v>411.47999999999996</v>
      </c>
      <c r="N19" s="2">
        <v>334233834.7568</v>
      </c>
      <c r="O19" s="1">
        <v>2556381.9839999997</v>
      </c>
      <c r="P19" s="2">
        <v>1655093.4639999999</v>
      </c>
      <c r="Q19" s="2">
        <v>89.915999999999997</v>
      </c>
      <c r="R19" s="1">
        <v>10322539.35488</v>
      </c>
      <c r="S19" s="1">
        <v>76264186097387.266</v>
      </c>
      <c r="T19" s="1">
        <v>96128.84</v>
      </c>
      <c r="U19" s="2">
        <v>299270395.00639999</v>
      </c>
      <c r="V19" s="2">
        <v>2867736.1999999997</v>
      </c>
      <c r="W19" s="1">
        <v>473</v>
      </c>
      <c r="X19" s="2">
        <v>7751081.2719999989</v>
      </c>
      <c r="Y19" s="2">
        <v>106.426</v>
      </c>
      <c r="Z19" s="2">
        <v>960.11999999999989</v>
      </c>
      <c r="AA19" s="2">
        <v>3098.7999999999997</v>
      </c>
      <c r="AB19" s="2">
        <v>3505.2</v>
      </c>
      <c r="AC19" s="2">
        <v>2382.52</v>
      </c>
      <c r="AD19" s="2">
        <v>2794</v>
      </c>
      <c r="AE19" s="2">
        <v>863.59999999999991</v>
      </c>
      <c r="AF19" s="2">
        <v>190.5</v>
      </c>
      <c r="AG19" s="2">
        <v>76.199999999999989</v>
      </c>
    </row>
    <row r="20" spans="1:33" x14ac:dyDescent="0.25">
      <c r="A20" s="1" t="s">
        <v>20</v>
      </c>
      <c r="B20" s="1">
        <v>296.14462406000001</v>
      </c>
      <c r="C20" s="1">
        <v>37935.407999999996</v>
      </c>
      <c r="D20" s="2">
        <v>982.98</v>
      </c>
      <c r="E20" s="2">
        <v>401.32</v>
      </c>
      <c r="F20" s="2">
        <v>16.509999999999998</v>
      </c>
      <c r="G20" s="2">
        <v>27.178000000000001</v>
      </c>
      <c r="H20" s="2">
        <v>57.15</v>
      </c>
      <c r="I20" s="2">
        <v>39.6875</v>
      </c>
      <c r="J20" s="2">
        <v>6201848241.4399996</v>
      </c>
      <c r="K20" s="2">
        <v>14240358.615999999</v>
      </c>
      <c r="L20" s="2">
        <v>12618039.279999999</v>
      </c>
      <c r="M20" s="2">
        <v>406.4</v>
      </c>
      <c r="N20" s="2">
        <v>289280840.792</v>
      </c>
      <c r="O20" s="1">
        <v>2245027.7679999997</v>
      </c>
      <c r="P20" s="2">
        <v>1445339.0447999998</v>
      </c>
      <c r="Q20" s="2">
        <v>87.63</v>
      </c>
      <c r="R20" s="1">
        <v>7617035.0884799995</v>
      </c>
      <c r="S20" s="1">
        <v>66059823168863.609</v>
      </c>
      <c r="T20" s="1">
        <v>96128.84</v>
      </c>
      <c r="U20" s="2">
        <v>261393335.27679998</v>
      </c>
      <c r="V20" s="2">
        <v>2507220.7919999999</v>
      </c>
      <c r="W20" s="1">
        <v>427</v>
      </c>
      <c r="X20" s="2">
        <v>6997276.3279999997</v>
      </c>
      <c r="Y20" s="2">
        <v>104.648</v>
      </c>
      <c r="Z20" s="2">
        <v>955.04</v>
      </c>
      <c r="AA20" s="2">
        <v>3073.3999999999996</v>
      </c>
      <c r="AB20" s="2">
        <v>3479.7999999999997</v>
      </c>
      <c r="AC20" s="2">
        <v>2367.2799999999997</v>
      </c>
      <c r="AD20" s="2">
        <v>2768.6</v>
      </c>
      <c r="AE20" s="2">
        <v>863.59999999999991</v>
      </c>
      <c r="AF20" s="2">
        <v>190.5</v>
      </c>
      <c r="AG20" s="2">
        <v>76.199999999999989</v>
      </c>
    </row>
    <row r="21" spans="1:33" x14ac:dyDescent="0.25">
      <c r="A21" s="1" t="s">
        <v>21</v>
      </c>
      <c r="B21" s="1">
        <v>583.36026447999996</v>
      </c>
      <c r="C21" s="1">
        <v>74838.559999999998</v>
      </c>
      <c r="D21" s="2">
        <v>1056.6399999999999</v>
      </c>
      <c r="E21" s="2">
        <v>314.95999999999998</v>
      </c>
      <c r="F21" s="2">
        <v>36.067999999999998</v>
      </c>
      <c r="G21" s="2">
        <v>64.007999999999996</v>
      </c>
      <c r="H21" s="2">
        <v>93.98</v>
      </c>
      <c r="I21" s="2">
        <v>49.212499999999999</v>
      </c>
      <c r="J21" s="2">
        <v>12445319625.439999</v>
      </c>
      <c r="K21" s="2">
        <v>28021879.439999998</v>
      </c>
      <c r="L21" s="2">
        <v>23597372.159999996</v>
      </c>
      <c r="M21" s="2">
        <v>408.94</v>
      </c>
      <c r="N21" s="2">
        <v>334233834.7568</v>
      </c>
      <c r="O21" s="1">
        <v>3474057.5679999995</v>
      </c>
      <c r="P21" s="2">
        <v>2130318.3199999998</v>
      </c>
      <c r="Q21" s="2">
        <v>67.055999999999997</v>
      </c>
      <c r="R21" s="1">
        <v>71591805.203199998</v>
      </c>
      <c r="S21" s="1">
        <v>82171975161269.375</v>
      </c>
      <c r="T21" s="1">
        <v>78064.36</v>
      </c>
      <c r="U21" s="2">
        <v>393754928.61759996</v>
      </c>
      <c r="V21" s="2">
        <v>4424507.2799999993</v>
      </c>
      <c r="W21" s="1">
        <v>848</v>
      </c>
      <c r="X21" s="2">
        <v>13896230.271999998</v>
      </c>
      <c r="Y21" s="2">
        <v>83.82</v>
      </c>
      <c r="Z21" s="2">
        <v>993.14</v>
      </c>
      <c r="AA21" s="2">
        <v>2946.3999999999996</v>
      </c>
      <c r="AB21" s="2">
        <v>3251.2</v>
      </c>
      <c r="AC21" s="2">
        <v>2428.2399999999998</v>
      </c>
      <c r="AD21" s="2">
        <v>2743.2</v>
      </c>
      <c r="AE21" s="2">
        <v>863.59999999999991</v>
      </c>
      <c r="AF21" s="2">
        <v>190.5</v>
      </c>
      <c r="AG21" s="2"/>
    </row>
    <row r="22" spans="1:33" x14ac:dyDescent="0.25">
      <c r="A22" s="1" t="s">
        <v>22</v>
      </c>
      <c r="B22" s="1">
        <v>492.58226414000001</v>
      </c>
      <c r="C22" s="1">
        <v>63032.131999999998</v>
      </c>
      <c r="D22" s="2">
        <v>1036.32</v>
      </c>
      <c r="E22" s="2">
        <v>309.87999999999994</v>
      </c>
      <c r="F22" s="2">
        <v>30.987999999999996</v>
      </c>
      <c r="G22" s="2">
        <v>54.101999999999997</v>
      </c>
      <c r="H22" s="2">
        <v>84.073999999999998</v>
      </c>
      <c r="I22" s="2">
        <v>46.037499999999994</v>
      </c>
      <c r="J22" s="2">
        <v>10280916212.32</v>
      </c>
      <c r="K22" s="2">
        <v>23433501.52</v>
      </c>
      <c r="L22" s="2">
        <v>19828347.439999998</v>
      </c>
      <c r="M22" s="2">
        <v>403.86</v>
      </c>
      <c r="N22" s="2">
        <v>268053038.08639997</v>
      </c>
      <c r="O22" s="1">
        <v>2818575.0079999999</v>
      </c>
      <c r="P22" s="2">
        <v>1737028.7839999998</v>
      </c>
      <c r="Q22" s="2">
        <v>65.277999999999992</v>
      </c>
      <c r="R22" s="1">
        <v>43704299.687999994</v>
      </c>
      <c r="S22" s="1">
        <v>64717143836163.133</v>
      </c>
      <c r="T22" s="1">
        <v>76128.87999999999</v>
      </c>
      <c r="U22" s="2">
        <v>318833272.00959998</v>
      </c>
      <c r="V22" s="2">
        <v>3703476.4639999997</v>
      </c>
      <c r="W22" s="1">
        <v>706</v>
      </c>
      <c r="X22" s="2">
        <v>11569267.183999998</v>
      </c>
      <c r="Y22" s="2">
        <v>81.533999999999992</v>
      </c>
      <c r="Z22" s="2">
        <v>982.98</v>
      </c>
      <c r="AA22" s="2">
        <v>2895.6</v>
      </c>
      <c r="AB22" s="2">
        <v>3200.3999999999996</v>
      </c>
      <c r="AC22" s="2">
        <v>2382.52</v>
      </c>
      <c r="AD22" s="2">
        <v>2692.3999999999996</v>
      </c>
      <c r="AE22" s="2">
        <v>863.59999999999991</v>
      </c>
      <c r="AF22" s="2">
        <v>190.5</v>
      </c>
      <c r="AG22" s="2"/>
    </row>
    <row r="23" spans="1:33" x14ac:dyDescent="0.25">
      <c r="A23" s="1" t="s">
        <v>23</v>
      </c>
      <c r="B23" s="1">
        <v>486.62960837999998</v>
      </c>
      <c r="C23" s="1">
        <v>61870.843999999997</v>
      </c>
      <c r="D23" s="2">
        <v>1036.32</v>
      </c>
      <c r="E23" s="2">
        <v>307.33999999999997</v>
      </c>
      <c r="F23" s="2">
        <v>29.971999999999998</v>
      </c>
      <c r="G23" s="2">
        <v>54.101999999999997</v>
      </c>
      <c r="H23" s="2">
        <v>84.073999999999998</v>
      </c>
      <c r="I23" s="2">
        <v>46.037499999999994</v>
      </c>
      <c r="J23" s="2">
        <v>10197669927.199999</v>
      </c>
      <c r="K23" s="2">
        <v>23105760.239999998</v>
      </c>
      <c r="L23" s="2">
        <v>19664476.799999997</v>
      </c>
      <c r="M23" s="2">
        <v>406.4</v>
      </c>
      <c r="N23" s="2">
        <v>266388112.38399997</v>
      </c>
      <c r="O23" s="1">
        <v>2785800.88</v>
      </c>
      <c r="P23" s="2">
        <v>1720641.7199999997</v>
      </c>
      <c r="Q23" s="2">
        <v>65.531999999999996</v>
      </c>
      <c r="R23" s="1">
        <v>42871836.836799994</v>
      </c>
      <c r="S23" s="1">
        <v>64180072103082.938</v>
      </c>
      <c r="T23" s="1">
        <v>75483.72</v>
      </c>
      <c r="U23" s="2">
        <v>313838494.90239996</v>
      </c>
      <c r="V23" s="2">
        <v>3687089.3999999994</v>
      </c>
      <c r="W23" s="1">
        <v>695</v>
      </c>
      <c r="X23" s="2">
        <v>11389009.479999999</v>
      </c>
      <c r="Y23" s="2">
        <v>81.533999999999992</v>
      </c>
      <c r="Z23" s="2">
        <v>982.98</v>
      </c>
      <c r="AA23" s="2">
        <v>2895.6</v>
      </c>
      <c r="AB23" s="2">
        <v>3200.3999999999996</v>
      </c>
      <c r="AC23" s="2">
        <v>2379.98</v>
      </c>
      <c r="AD23" s="2">
        <v>2692.3999999999996</v>
      </c>
      <c r="AE23" s="2">
        <v>863.59999999999991</v>
      </c>
      <c r="AF23" s="2">
        <v>190.5</v>
      </c>
      <c r="AG23" s="2"/>
    </row>
    <row r="24" spans="1:33" x14ac:dyDescent="0.25">
      <c r="A24" s="1" t="s">
        <v>24</v>
      </c>
      <c r="B24" s="1">
        <v>437.52019835999999</v>
      </c>
      <c r="C24" s="1">
        <v>55612.792000000001</v>
      </c>
      <c r="D24" s="2">
        <v>1026.1599999999999</v>
      </c>
      <c r="E24" s="2">
        <v>304.79999999999995</v>
      </c>
      <c r="F24" s="2">
        <v>26.923999999999999</v>
      </c>
      <c r="G24" s="2">
        <v>49.021999999999998</v>
      </c>
      <c r="H24" s="2">
        <v>78.993999999999986</v>
      </c>
      <c r="I24" s="2">
        <v>44.449999999999996</v>
      </c>
      <c r="J24" s="2">
        <v>9115468220.6399994</v>
      </c>
      <c r="K24" s="2">
        <v>20811571.279999997</v>
      </c>
      <c r="L24" s="2">
        <v>17698029.119999997</v>
      </c>
      <c r="M24" s="2">
        <v>403.86</v>
      </c>
      <c r="N24" s="2">
        <v>233922061.18719998</v>
      </c>
      <c r="O24" s="1">
        <v>2458059.5999999996</v>
      </c>
      <c r="P24" s="2">
        <v>1532190.4839999999</v>
      </c>
      <c r="Q24" s="2">
        <v>64.77</v>
      </c>
      <c r="R24" s="1">
        <v>31883327.200959995</v>
      </c>
      <c r="S24" s="1">
        <v>55855460240339.969</v>
      </c>
      <c r="T24" s="1">
        <v>74193.399999999994</v>
      </c>
      <c r="U24" s="2">
        <v>278042592.30079997</v>
      </c>
      <c r="V24" s="2">
        <v>3326573.9919999996</v>
      </c>
      <c r="W24" s="1">
        <v>622</v>
      </c>
      <c r="X24" s="2">
        <v>10192753.807999998</v>
      </c>
      <c r="Y24" s="2">
        <v>80.263999999999996</v>
      </c>
      <c r="Z24" s="2">
        <v>977.9</v>
      </c>
      <c r="AA24" s="2">
        <v>2870.2</v>
      </c>
      <c r="AB24" s="2">
        <v>3175</v>
      </c>
      <c r="AC24" s="2">
        <v>2357.12</v>
      </c>
      <c r="AD24" s="2">
        <v>2667</v>
      </c>
      <c r="AE24" s="2">
        <v>863.59999999999991</v>
      </c>
      <c r="AF24" s="2">
        <v>190.5</v>
      </c>
      <c r="AG24" s="2"/>
    </row>
    <row r="25" spans="1:33" x14ac:dyDescent="0.25">
      <c r="A25" s="1" t="s">
        <v>25</v>
      </c>
      <c r="B25" s="1">
        <v>413.70957532</v>
      </c>
      <c r="C25" s="1">
        <v>53096.667999999998</v>
      </c>
      <c r="D25" s="2">
        <v>1021.08</v>
      </c>
      <c r="E25" s="2">
        <v>304.79999999999995</v>
      </c>
      <c r="F25" s="2">
        <v>26.161999999999999</v>
      </c>
      <c r="G25" s="2">
        <v>45.973999999999997</v>
      </c>
      <c r="H25" s="2">
        <v>75.945999999999998</v>
      </c>
      <c r="I25" s="2">
        <v>44.449999999999996</v>
      </c>
      <c r="J25" s="2">
        <v>8532744224.7999992</v>
      </c>
      <c r="K25" s="2">
        <v>19500606.159999996</v>
      </c>
      <c r="L25" s="2">
        <v>16714805.279999999</v>
      </c>
      <c r="M25" s="2">
        <v>401.32</v>
      </c>
      <c r="N25" s="2">
        <v>216856572.73759997</v>
      </c>
      <c r="O25" s="1">
        <v>2294188.96</v>
      </c>
      <c r="P25" s="2">
        <v>1427313.2743999998</v>
      </c>
      <c r="Q25" s="2">
        <v>64.007999999999996</v>
      </c>
      <c r="R25" s="1">
        <v>27055042.663999997</v>
      </c>
      <c r="S25" s="1">
        <v>51558886375698.43</v>
      </c>
      <c r="T25" s="1">
        <v>74193.399999999994</v>
      </c>
      <c r="U25" s="2">
        <v>258895946.72319996</v>
      </c>
      <c r="V25" s="2">
        <v>3113542.1599999997</v>
      </c>
      <c r="W25" s="1">
        <v>587</v>
      </c>
      <c r="X25" s="2">
        <v>9619206.568</v>
      </c>
      <c r="Y25" s="2">
        <v>79.501999999999995</v>
      </c>
      <c r="Z25" s="2">
        <v>975.3599999999999</v>
      </c>
      <c r="AA25" s="2">
        <v>2844.7999999999997</v>
      </c>
      <c r="AB25" s="2">
        <v>3149.6</v>
      </c>
      <c r="AC25" s="2">
        <v>2346.96</v>
      </c>
      <c r="AD25" s="2">
        <v>2641.6</v>
      </c>
      <c r="AE25" s="2">
        <v>863.59999999999991</v>
      </c>
      <c r="AF25" s="2">
        <v>190.5</v>
      </c>
      <c r="AG25" s="2"/>
    </row>
    <row r="26" spans="1:33" x14ac:dyDescent="0.25">
      <c r="A26" s="1" t="s">
        <v>26</v>
      </c>
      <c r="B26" s="1">
        <v>392.87528015999999</v>
      </c>
      <c r="C26" s="1">
        <v>49935.383999999998</v>
      </c>
      <c r="D26" s="2">
        <v>1016</v>
      </c>
      <c r="E26" s="2">
        <v>302.26</v>
      </c>
      <c r="F26" s="2">
        <v>24.383999999999997</v>
      </c>
      <c r="G26" s="2">
        <v>43.942</v>
      </c>
      <c r="H26" s="2">
        <v>73.914000000000001</v>
      </c>
      <c r="I26" s="2">
        <v>42.862499999999997</v>
      </c>
      <c r="J26" s="2">
        <v>8074889656.6399994</v>
      </c>
      <c r="K26" s="2">
        <v>18517382.319999997</v>
      </c>
      <c r="L26" s="2">
        <v>15911839.143999999</v>
      </c>
      <c r="M26" s="2">
        <v>401.32</v>
      </c>
      <c r="N26" s="2">
        <v>205202092.82079998</v>
      </c>
      <c r="O26" s="1">
        <v>2163092.4479999999</v>
      </c>
      <c r="P26" s="2">
        <v>1353571.4863999998</v>
      </c>
      <c r="Q26" s="2">
        <v>64.007999999999996</v>
      </c>
      <c r="R26" s="1">
        <v>23350582.976159997</v>
      </c>
      <c r="S26" s="1">
        <v>48604991843757.375</v>
      </c>
      <c r="T26" s="1">
        <v>73548.239999999991</v>
      </c>
      <c r="U26" s="2">
        <v>245160309.67839998</v>
      </c>
      <c r="V26" s="2">
        <v>2982445.6479999996</v>
      </c>
      <c r="W26" s="1">
        <v>555</v>
      </c>
      <c r="X26" s="2">
        <v>9094820.5199999996</v>
      </c>
      <c r="Y26" s="2">
        <v>79.248000000000005</v>
      </c>
      <c r="Z26" s="2">
        <v>972.81999999999982</v>
      </c>
      <c r="AA26" s="2">
        <v>2844.7999999999997</v>
      </c>
      <c r="AB26" s="2">
        <v>3149.6</v>
      </c>
      <c r="AC26" s="2">
        <v>2334.2600000000002</v>
      </c>
      <c r="AD26" s="2">
        <v>2641.6</v>
      </c>
      <c r="AE26" s="2">
        <v>863.59999999999991</v>
      </c>
      <c r="AF26" s="2">
        <v>190.5</v>
      </c>
      <c r="AG26" s="2"/>
    </row>
    <row r="27" spans="1:33" x14ac:dyDescent="0.25">
      <c r="A27" s="1" t="s">
        <v>27</v>
      </c>
      <c r="B27" s="1">
        <v>349.71852589999997</v>
      </c>
      <c r="C27" s="1">
        <v>44580.555999999997</v>
      </c>
      <c r="D27" s="2">
        <v>1008.38</v>
      </c>
      <c r="E27" s="2">
        <v>302.26</v>
      </c>
      <c r="F27" s="2">
        <v>21.081999999999997</v>
      </c>
      <c r="G27" s="2">
        <v>40.131999999999998</v>
      </c>
      <c r="H27" s="2">
        <v>70.103999999999985</v>
      </c>
      <c r="I27" s="2">
        <v>41.274999999999999</v>
      </c>
      <c r="J27" s="2">
        <v>7242426805.4399996</v>
      </c>
      <c r="K27" s="2">
        <v>16550934.639999999</v>
      </c>
      <c r="L27" s="2">
        <v>14338680.999999998</v>
      </c>
      <c r="M27" s="2">
        <v>403.86</v>
      </c>
      <c r="N27" s="2">
        <v>184806752.96639997</v>
      </c>
      <c r="O27" s="1">
        <v>1933673.5519999999</v>
      </c>
      <c r="P27" s="2">
        <v>1222474.9743999997</v>
      </c>
      <c r="Q27" s="2">
        <v>64.515999999999991</v>
      </c>
      <c r="R27" s="1">
        <v>17190357.877279997</v>
      </c>
      <c r="S27" s="1">
        <v>43234274512955.453</v>
      </c>
      <c r="T27" s="1">
        <v>72903.08</v>
      </c>
      <c r="U27" s="2">
        <v>220602655.56799999</v>
      </c>
      <c r="V27" s="2">
        <v>2720252.6239999998</v>
      </c>
      <c r="W27" s="1">
        <v>495</v>
      </c>
      <c r="X27" s="2">
        <v>8111596.6799999997</v>
      </c>
      <c r="Y27" s="2">
        <v>78.993999999999986</v>
      </c>
      <c r="Z27" s="2">
        <v>967.74</v>
      </c>
      <c r="AA27" s="2">
        <v>2819.3999999999996</v>
      </c>
      <c r="AB27" s="2">
        <v>3124.2</v>
      </c>
      <c r="AC27" s="2">
        <v>2319.02</v>
      </c>
      <c r="AD27" s="2">
        <v>2616.1999999999998</v>
      </c>
      <c r="AE27" s="2">
        <v>863.59999999999991</v>
      </c>
      <c r="AF27" s="2">
        <v>190.5</v>
      </c>
      <c r="AG27" s="2"/>
    </row>
    <row r="28" spans="1:33" x14ac:dyDescent="0.25">
      <c r="A28" s="1" t="s">
        <v>28</v>
      </c>
      <c r="B28" s="1">
        <v>314.00259133999998</v>
      </c>
      <c r="C28" s="1">
        <v>40064.436000000002</v>
      </c>
      <c r="D28" s="2">
        <v>1000.7599999999999</v>
      </c>
      <c r="E28" s="2">
        <v>299.72000000000003</v>
      </c>
      <c r="F28" s="2">
        <v>19.049999999999997</v>
      </c>
      <c r="G28" s="2">
        <v>36.067999999999998</v>
      </c>
      <c r="H28" s="2">
        <v>66.039999999999992</v>
      </c>
      <c r="I28" s="2">
        <v>39.6875</v>
      </c>
      <c r="J28" s="2">
        <v>6451587096.7999992</v>
      </c>
      <c r="K28" s="2">
        <v>14846679.983999999</v>
      </c>
      <c r="L28" s="2">
        <v>12880232.304</v>
      </c>
      <c r="M28" s="2">
        <v>401.32</v>
      </c>
      <c r="N28" s="2">
        <v>162330255.984</v>
      </c>
      <c r="O28" s="1">
        <v>1720641.7199999997</v>
      </c>
      <c r="P28" s="2">
        <v>1083184.9303999997</v>
      </c>
      <c r="Q28" s="2">
        <v>63.753999999999991</v>
      </c>
      <c r="R28" s="1">
        <v>12653435.338239998</v>
      </c>
      <c r="S28" s="1">
        <v>37863557182153.531</v>
      </c>
      <c r="T28" s="1">
        <v>72257.919999999998</v>
      </c>
      <c r="U28" s="2">
        <v>194796307.18079999</v>
      </c>
      <c r="V28" s="2">
        <v>2425285.4719999996</v>
      </c>
      <c r="W28" s="1">
        <v>442</v>
      </c>
      <c r="X28" s="2">
        <v>7243082.2879999997</v>
      </c>
      <c r="Y28" s="2">
        <v>77.977999999999994</v>
      </c>
      <c r="Z28" s="2">
        <v>965.19999999999993</v>
      </c>
      <c r="AA28" s="2">
        <v>2794</v>
      </c>
      <c r="AB28" s="2">
        <v>3098.7999999999997</v>
      </c>
      <c r="AC28" s="2">
        <v>2301.2399999999998</v>
      </c>
      <c r="AD28" s="2">
        <v>2590.7999999999997</v>
      </c>
      <c r="AE28" s="2">
        <v>863.59999999999991</v>
      </c>
      <c r="AF28" s="2">
        <v>190.5</v>
      </c>
      <c r="AG28" s="2"/>
    </row>
    <row r="29" spans="1:33" x14ac:dyDescent="0.25">
      <c r="A29" s="1" t="s">
        <v>29</v>
      </c>
      <c r="B29" s="1">
        <v>272.33400102000002</v>
      </c>
      <c r="C29" s="1">
        <v>34387.027999999998</v>
      </c>
      <c r="D29" s="2">
        <v>990.59999999999991</v>
      </c>
      <c r="E29" s="2">
        <v>299.72000000000003</v>
      </c>
      <c r="F29" s="2">
        <v>16.509999999999998</v>
      </c>
      <c r="G29" s="2">
        <v>30.479999999999997</v>
      </c>
      <c r="H29" s="2">
        <v>60.451999999999991</v>
      </c>
      <c r="I29" s="2">
        <v>39.6875</v>
      </c>
      <c r="J29" s="2">
        <v>5494254817.9199991</v>
      </c>
      <c r="K29" s="2">
        <v>12683587.535999998</v>
      </c>
      <c r="L29" s="2">
        <v>11061268.199999999</v>
      </c>
      <c r="M29" s="2">
        <v>398.78</v>
      </c>
      <c r="N29" s="2">
        <v>137772601.87359998</v>
      </c>
      <c r="O29" s="1">
        <v>1446977.7511999998</v>
      </c>
      <c r="P29" s="2">
        <v>917675.58399999992</v>
      </c>
      <c r="Q29" s="2">
        <v>63.246000000000002</v>
      </c>
      <c r="R29" s="1">
        <v>8033266.5140799992</v>
      </c>
      <c r="S29" s="1">
        <v>31687232251731.328</v>
      </c>
      <c r="T29" s="1">
        <v>72257.919999999998</v>
      </c>
      <c r="U29" s="2">
        <v>164411413.11199999</v>
      </c>
      <c r="V29" s="2">
        <v>2064770.0639999998</v>
      </c>
      <c r="W29" s="1">
        <v>376</v>
      </c>
      <c r="X29" s="2">
        <v>6161536.0639999993</v>
      </c>
      <c r="Y29" s="2">
        <v>77.215999999999994</v>
      </c>
      <c r="Z29" s="2">
        <v>960.11999999999989</v>
      </c>
      <c r="AA29" s="2">
        <v>2794</v>
      </c>
      <c r="AB29" s="2">
        <v>3098.7999999999997</v>
      </c>
      <c r="AC29" s="2">
        <v>2280.9199999999996</v>
      </c>
      <c r="AD29" s="2">
        <v>2590.7999999999997</v>
      </c>
      <c r="AE29" s="2">
        <v>863.59999999999991</v>
      </c>
      <c r="AF29" s="2">
        <v>190.5</v>
      </c>
      <c r="AG29" s="2"/>
    </row>
    <row r="30" spans="1:33" x14ac:dyDescent="0.25">
      <c r="A30" s="1" t="s">
        <v>30</v>
      </c>
      <c r="B30" s="1">
        <v>248.52337797999999</v>
      </c>
      <c r="C30" s="1">
        <v>31806.387999999995</v>
      </c>
      <c r="D30" s="2">
        <v>980.43999999999994</v>
      </c>
      <c r="E30" s="2">
        <v>299.72000000000003</v>
      </c>
      <c r="F30" s="2">
        <v>16.509999999999998</v>
      </c>
      <c r="G30" s="2">
        <v>26.161999999999999</v>
      </c>
      <c r="H30" s="2">
        <v>56.133999999999993</v>
      </c>
      <c r="I30" s="2">
        <v>39.6875</v>
      </c>
      <c r="J30" s="2">
        <v>4828284536.9599991</v>
      </c>
      <c r="K30" s="2">
        <v>11356235.351999998</v>
      </c>
      <c r="L30" s="2">
        <v>9832238.3999999985</v>
      </c>
      <c r="M30" s="2">
        <v>388.62</v>
      </c>
      <c r="N30" s="2">
        <v>117793493.44479999</v>
      </c>
      <c r="O30" s="1">
        <v>1245416.8639999998</v>
      </c>
      <c r="P30" s="2">
        <v>784940.3655999999</v>
      </c>
      <c r="Q30" s="2">
        <v>60.959999999999994</v>
      </c>
      <c r="R30" s="1">
        <v>5827239.9583999999</v>
      </c>
      <c r="S30" s="1">
        <v>26773025894047.57</v>
      </c>
      <c r="T30" s="1">
        <v>71612.759999999995</v>
      </c>
      <c r="U30" s="2">
        <v>139853759.0016</v>
      </c>
      <c r="V30" s="2">
        <v>1753415.8479999998</v>
      </c>
      <c r="W30" s="1">
        <v>336</v>
      </c>
      <c r="X30" s="2">
        <v>5506053.5039999997</v>
      </c>
      <c r="Y30" s="2">
        <v>75.691999999999993</v>
      </c>
      <c r="Z30" s="2">
        <v>955.04</v>
      </c>
      <c r="AA30" s="2">
        <v>2768.6</v>
      </c>
      <c r="AB30" s="2">
        <v>3073.3999999999996</v>
      </c>
      <c r="AC30" s="2">
        <v>2260.6</v>
      </c>
      <c r="AD30" s="2">
        <v>2565.3999999999996</v>
      </c>
      <c r="AE30" s="2">
        <v>863.59999999999991</v>
      </c>
      <c r="AF30" s="2">
        <v>190.5</v>
      </c>
      <c r="AG30" s="2"/>
    </row>
    <row r="31" spans="1:33" x14ac:dyDescent="0.25">
      <c r="A31" s="1" t="s">
        <v>31</v>
      </c>
      <c r="B31" s="1">
        <v>221.73642705999998</v>
      </c>
      <c r="C31" s="1">
        <v>28258.007999999998</v>
      </c>
      <c r="D31" s="2">
        <v>970.28</v>
      </c>
      <c r="E31" s="2">
        <v>299.72000000000003</v>
      </c>
      <c r="F31" s="2">
        <v>16.001999999999999</v>
      </c>
      <c r="G31" s="2">
        <v>21.081999999999997</v>
      </c>
      <c r="H31" s="2">
        <v>51.053999999999995</v>
      </c>
      <c r="I31" s="2">
        <v>38.099999999999994</v>
      </c>
      <c r="J31" s="2">
        <v>4079067970.8799996</v>
      </c>
      <c r="K31" s="2">
        <v>9799464.2719999999</v>
      </c>
      <c r="L31" s="2">
        <v>8406563.8319999985</v>
      </c>
      <c r="M31" s="2">
        <v>381</v>
      </c>
      <c r="N31" s="2">
        <v>95316996.462399989</v>
      </c>
      <c r="O31" s="1">
        <v>1019275.3807999999</v>
      </c>
      <c r="P31" s="2">
        <v>635818.08319999988</v>
      </c>
      <c r="Q31" s="2">
        <v>58.165999999999997</v>
      </c>
      <c r="R31" s="1">
        <v>3895926.1436159993</v>
      </c>
      <c r="S31" s="1">
        <v>21482869323207.68</v>
      </c>
      <c r="T31" s="1">
        <v>70967.599999999991</v>
      </c>
      <c r="U31" s="2">
        <v>112382484.91199999</v>
      </c>
      <c r="V31" s="2">
        <v>1420758.4487999999</v>
      </c>
      <c r="W31" s="1">
        <v>288</v>
      </c>
      <c r="X31" s="2">
        <v>4719474.432</v>
      </c>
      <c r="Y31" s="2">
        <v>73.406000000000006</v>
      </c>
      <c r="Z31" s="2">
        <v>949.95999999999992</v>
      </c>
      <c r="AA31" s="2">
        <v>2743.2</v>
      </c>
      <c r="AB31" s="2">
        <v>3048</v>
      </c>
      <c r="AC31" s="2">
        <v>2240.2799999999997</v>
      </c>
      <c r="AD31" s="2">
        <v>2540</v>
      </c>
      <c r="AE31" s="2">
        <v>863.59999999999991</v>
      </c>
      <c r="AF31" s="2">
        <v>190.5</v>
      </c>
      <c r="AG31" s="2"/>
    </row>
    <row r="32" spans="1:33" x14ac:dyDescent="0.25">
      <c r="A32" s="1" t="s">
        <v>32</v>
      </c>
      <c r="B32" s="1">
        <v>1376.5516445000001</v>
      </c>
      <c r="C32" s="1">
        <v>175483.51999999999</v>
      </c>
      <c r="D32" s="2">
        <v>1094.74</v>
      </c>
      <c r="E32" s="2">
        <v>472.44</v>
      </c>
      <c r="F32" s="2">
        <v>76.707999999999998</v>
      </c>
      <c r="G32" s="2">
        <v>115.062</v>
      </c>
      <c r="H32" s="2">
        <v>134.11199999999999</v>
      </c>
      <c r="I32" s="2">
        <v>58.737499999999997</v>
      </c>
      <c r="J32" s="2">
        <v>30384894068.799995</v>
      </c>
      <c r="K32" s="2">
        <v>67678574.319999993</v>
      </c>
      <c r="L32" s="2">
        <v>55552146.959999993</v>
      </c>
      <c r="M32" s="2">
        <v>416.55999999999995</v>
      </c>
      <c r="N32" s="2">
        <v>2056183242.4639997</v>
      </c>
      <c r="O32" s="1">
        <v>14125649.168</v>
      </c>
      <c r="P32" s="2">
        <v>8701530.9839999992</v>
      </c>
      <c r="Q32" s="2">
        <v>108.20399999999999</v>
      </c>
      <c r="R32" s="1">
        <v>595210938.60799992</v>
      </c>
      <c r="S32" s="1">
        <v>494105994433776.63</v>
      </c>
      <c r="T32" s="1">
        <v>115483.64</v>
      </c>
      <c r="U32" s="2">
        <v>1573354788.7679999</v>
      </c>
      <c r="V32" s="2">
        <v>11159590.583999999</v>
      </c>
      <c r="W32" s="1">
        <v>2060</v>
      </c>
      <c r="X32" s="2">
        <v>33757351.839999996</v>
      </c>
      <c r="Y32" s="2">
        <v>134.61999999999998</v>
      </c>
      <c r="Z32" s="2">
        <v>980.43999999999994</v>
      </c>
      <c r="AA32" s="2">
        <v>3403.6</v>
      </c>
      <c r="AB32" s="2">
        <v>3886.2</v>
      </c>
      <c r="AC32" s="2">
        <v>2667</v>
      </c>
      <c r="AD32" s="2">
        <v>3149.6</v>
      </c>
      <c r="AE32" s="2">
        <v>822.32499999999993</v>
      </c>
      <c r="AF32" s="2">
        <v>190.5</v>
      </c>
      <c r="AG32" s="2">
        <v>76.199999999999989</v>
      </c>
    </row>
    <row r="33" spans="1:33" x14ac:dyDescent="0.25">
      <c r="A33" s="1" t="s">
        <v>33</v>
      </c>
      <c r="B33" s="1">
        <v>1269.4038408199999</v>
      </c>
      <c r="C33" s="1">
        <v>161935.16</v>
      </c>
      <c r="D33" s="2">
        <v>1094.74</v>
      </c>
      <c r="E33" s="2">
        <v>462.28</v>
      </c>
      <c r="F33" s="2">
        <v>64.007999999999996</v>
      </c>
      <c r="G33" s="2">
        <v>115.062</v>
      </c>
      <c r="H33" s="2">
        <v>134.11199999999999</v>
      </c>
      <c r="I33" s="2">
        <v>52.387499999999996</v>
      </c>
      <c r="J33" s="2">
        <v>29136199791.999996</v>
      </c>
      <c r="K33" s="2">
        <v>64237290.879999995</v>
      </c>
      <c r="L33" s="2">
        <v>53257957.999999993</v>
      </c>
      <c r="M33" s="2">
        <v>424.17999999999995</v>
      </c>
      <c r="N33" s="2">
        <v>1914664557.7599998</v>
      </c>
      <c r="O33" s="1">
        <v>13191586.52</v>
      </c>
      <c r="P33" s="2">
        <v>8275467.3199999994</v>
      </c>
      <c r="Q33" s="2">
        <v>108.712</v>
      </c>
      <c r="R33" s="1">
        <v>516126967.74399996</v>
      </c>
      <c r="S33" s="1">
        <v>459196331783564.13</v>
      </c>
      <c r="T33" s="1">
        <v>112903</v>
      </c>
      <c r="U33" s="2">
        <v>1506757760.6719999</v>
      </c>
      <c r="V33" s="2">
        <v>11225138.84</v>
      </c>
      <c r="W33" s="1">
        <v>1950</v>
      </c>
      <c r="X33" s="2">
        <v>31954774.799999997</v>
      </c>
      <c r="Y33" s="2">
        <v>132.58799999999999</v>
      </c>
      <c r="Z33" s="2">
        <v>980.43999999999994</v>
      </c>
      <c r="AA33" s="2">
        <v>3429</v>
      </c>
      <c r="AB33" s="2">
        <v>3886.2</v>
      </c>
      <c r="AC33" s="2">
        <v>2641.6</v>
      </c>
      <c r="AD33" s="2">
        <v>3098.7999999999997</v>
      </c>
      <c r="AE33" s="2">
        <v>822.32499999999993</v>
      </c>
      <c r="AF33" s="2">
        <v>190.5</v>
      </c>
      <c r="AG33" s="2">
        <v>76.199999999999989</v>
      </c>
    </row>
    <row r="34" spans="1:33" x14ac:dyDescent="0.25">
      <c r="A34" s="1" t="s">
        <v>34</v>
      </c>
      <c r="B34" s="1">
        <v>1193.5074798799999</v>
      </c>
      <c r="C34" s="1">
        <v>152257.75999999998</v>
      </c>
      <c r="D34" s="2">
        <v>1082.04</v>
      </c>
      <c r="E34" s="2">
        <v>457.2</v>
      </c>
      <c r="F34" s="2">
        <v>60.451999999999991</v>
      </c>
      <c r="G34" s="2">
        <v>108.96599999999999</v>
      </c>
      <c r="H34" s="2">
        <v>128.01599999999999</v>
      </c>
      <c r="I34" s="2">
        <v>50.8</v>
      </c>
      <c r="J34" s="2">
        <v>26971796378.879997</v>
      </c>
      <c r="K34" s="2">
        <v>59976654.239999995</v>
      </c>
      <c r="L34" s="2">
        <v>49816674.559999995</v>
      </c>
      <c r="M34" s="2">
        <v>421.64</v>
      </c>
      <c r="N34" s="2">
        <v>1752334301.7759998</v>
      </c>
      <c r="O34" s="1">
        <v>12191975.615999999</v>
      </c>
      <c r="P34" s="2">
        <v>7669145.9519999996</v>
      </c>
      <c r="Q34" s="2">
        <v>107.18799999999999</v>
      </c>
      <c r="R34" s="1">
        <v>437042996.87999994</v>
      </c>
      <c r="S34" s="1">
        <v>413545234471747.81</v>
      </c>
      <c r="T34" s="1">
        <v>110967.51999999999</v>
      </c>
      <c r="U34" s="2">
        <v>1386050647.2479999</v>
      </c>
      <c r="V34" s="2">
        <v>10520495.088</v>
      </c>
      <c r="W34" s="1">
        <v>1820</v>
      </c>
      <c r="X34" s="2">
        <v>29824456.479999997</v>
      </c>
      <c r="Y34" s="2">
        <v>130.81</v>
      </c>
      <c r="Z34" s="2">
        <v>972.81999999999982</v>
      </c>
      <c r="AA34" s="2">
        <v>3378.2</v>
      </c>
      <c r="AB34" s="2">
        <v>3835.3999999999996</v>
      </c>
      <c r="AC34" s="2">
        <v>2616.1999999999998</v>
      </c>
      <c r="AD34" s="2">
        <v>3073.3999999999996</v>
      </c>
      <c r="AE34" s="2">
        <v>822.32499999999993</v>
      </c>
      <c r="AF34" s="2">
        <v>190.5</v>
      </c>
      <c r="AG34" s="2">
        <v>76.199999999999989</v>
      </c>
    </row>
    <row r="35" spans="1:33" x14ac:dyDescent="0.25">
      <c r="A35" s="1" t="s">
        <v>35</v>
      </c>
      <c r="B35" s="1">
        <v>1075.9425286200001</v>
      </c>
      <c r="C35" s="1">
        <v>137419.07999999999</v>
      </c>
      <c r="D35" s="2">
        <v>1061.7199999999998</v>
      </c>
      <c r="E35" s="2">
        <v>452.12</v>
      </c>
      <c r="F35" s="2">
        <v>55.117999999999995</v>
      </c>
      <c r="G35" s="2">
        <v>99.059999999999988</v>
      </c>
      <c r="H35" s="2">
        <v>118.11</v>
      </c>
      <c r="I35" s="2">
        <v>47.625</v>
      </c>
      <c r="J35" s="2">
        <v>23850060686.879997</v>
      </c>
      <c r="K35" s="2">
        <v>53585699.279999994</v>
      </c>
      <c r="L35" s="2">
        <v>44900555.359999999</v>
      </c>
      <c r="M35" s="2">
        <v>416.55999999999995</v>
      </c>
      <c r="N35" s="2">
        <v>1540056274.7199998</v>
      </c>
      <c r="O35" s="1">
        <v>10782688.112</v>
      </c>
      <c r="P35" s="2">
        <v>6817018.6239999998</v>
      </c>
      <c r="Q35" s="2">
        <v>105.91799999999999</v>
      </c>
      <c r="R35" s="1">
        <v>326741669.09599996</v>
      </c>
      <c r="S35" s="1">
        <v>357152702498327.69</v>
      </c>
      <c r="T35" s="1">
        <v>109032.04</v>
      </c>
      <c r="U35" s="2">
        <v>1219558077.0079999</v>
      </c>
      <c r="V35" s="2">
        <v>9471722.9919999987</v>
      </c>
      <c r="W35" s="1">
        <v>1630</v>
      </c>
      <c r="X35" s="2">
        <v>26710914.319999997</v>
      </c>
      <c r="Y35" s="2">
        <v>128.52399999999997</v>
      </c>
      <c r="Z35" s="2">
        <v>962.65999999999985</v>
      </c>
      <c r="AA35" s="2">
        <v>3327.3999999999996</v>
      </c>
      <c r="AB35" s="2">
        <v>3784.6</v>
      </c>
      <c r="AC35" s="2">
        <v>2565.3999999999996</v>
      </c>
      <c r="AD35" s="2">
        <v>3022.6</v>
      </c>
      <c r="AE35" s="2">
        <v>822.32499999999993</v>
      </c>
      <c r="AF35" s="2">
        <v>190.5</v>
      </c>
      <c r="AG35" s="2">
        <v>76.199999999999989</v>
      </c>
    </row>
    <row r="36" spans="1:33" x14ac:dyDescent="0.25">
      <c r="A36" s="1" t="s">
        <v>36</v>
      </c>
      <c r="B36" s="1">
        <v>970.28288887999997</v>
      </c>
      <c r="C36" s="1">
        <v>123870.72</v>
      </c>
      <c r="D36" s="2">
        <v>1043.94</v>
      </c>
      <c r="E36" s="2">
        <v>447.04</v>
      </c>
      <c r="F36" s="2">
        <v>50.037999999999997</v>
      </c>
      <c r="G36" s="2">
        <v>89.915999999999997</v>
      </c>
      <c r="H36" s="2">
        <v>114.04599999999999</v>
      </c>
      <c r="I36" s="2">
        <v>55.5625</v>
      </c>
      <c r="J36" s="2">
        <v>21061310135.359997</v>
      </c>
      <c r="K36" s="2">
        <v>47686356.239999995</v>
      </c>
      <c r="L36" s="2">
        <v>40312177.439999998</v>
      </c>
      <c r="M36" s="2">
        <v>411.47999999999996</v>
      </c>
      <c r="N36" s="2">
        <v>1344427504.688</v>
      </c>
      <c r="O36" s="1">
        <v>9520884.1839999985</v>
      </c>
      <c r="P36" s="2">
        <v>6014052.4879999999</v>
      </c>
      <c r="Q36" s="2">
        <v>104.13999999999999</v>
      </c>
      <c r="R36" s="1">
        <v>246825235.38079998</v>
      </c>
      <c r="S36" s="1">
        <v>303445529190308.44</v>
      </c>
      <c r="T36" s="1">
        <v>106451.4</v>
      </c>
      <c r="U36" s="2">
        <v>1065552449.5359999</v>
      </c>
      <c r="V36" s="2">
        <v>8488499.1519999988</v>
      </c>
      <c r="W36" s="1">
        <v>1450</v>
      </c>
      <c r="X36" s="2">
        <v>23761242.799999997</v>
      </c>
      <c r="Y36" s="2">
        <v>125.98399999999999</v>
      </c>
      <c r="Z36" s="2">
        <v>955.04</v>
      </c>
      <c r="AA36" s="2">
        <v>3276.6</v>
      </c>
      <c r="AB36" s="2">
        <v>3733.7999999999997</v>
      </c>
      <c r="AC36" s="2">
        <v>2534.9199999999996</v>
      </c>
      <c r="AD36" s="2">
        <v>2971.7999999999997</v>
      </c>
      <c r="AE36" s="2">
        <v>796.92499999999995</v>
      </c>
      <c r="AF36" s="2">
        <v>190.5</v>
      </c>
      <c r="AG36" s="2">
        <v>76.199999999999989</v>
      </c>
    </row>
    <row r="37" spans="1:33" x14ac:dyDescent="0.25">
      <c r="A37" s="1" t="s">
        <v>37</v>
      </c>
      <c r="B37" s="1">
        <v>787.23872426000003</v>
      </c>
      <c r="C37" s="1">
        <v>100644.95999999999</v>
      </c>
      <c r="D37" s="2">
        <v>1010.9199999999998</v>
      </c>
      <c r="E37" s="2">
        <v>436.87999999999994</v>
      </c>
      <c r="F37" s="2">
        <v>40.893999999999998</v>
      </c>
      <c r="G37" s="2">
        <v>73.914000000000001</v>
      </c>
      <c r="H37" s="2">
        <v>98.043999999999997</v>
      </c>
      <c r="I37" s="2">
        <v>50.8</v>
      </c>
      <c r="J37" s="2">
        <v>16482764453.759998</v>
      </c>
      <c r="K37" s="2">
        <v>38181859.119999997</v>
      </c>
      <c r="L37" s="2">
        <v>32610257.359999996</v>
      </c>
      <c r="M37" s="2">
        <v>406.4</v>
      </c>
      <c r="N37" s="2">
        <v>1036416249.7439998</v>
      </c>
      <c r="O37" s="1">
        <v>7439727.0559999989</v>
      </c>
      <c r="P37" s="2">
        <v>4735861.4959999993</v>
      </c>
      <c r="Q37" s="2">
        <v>101.6</v>
      </c>
      <c r="R37" s="1">
        <v>136107676.17119998</v>
      </c>
      <c r="S37" s="1">
        <v>227181343092921.22</v>
      </c>
      <c r="T37" s="1">
        <v>102580.43999999999</v>
      </c>
      <c r="U37" s="2">
        <v>828300536.94399989</v>
      </c>
      <c r="V37" s="2">
        <v>6866179.8159999996</v>
      </c>
      <c r="W37" s="1">
        <v>1160</v>
      </c>
      <c r="X37" s="2">
        <v>19008994.239999998</v>
      </c>
      <c r="Y37" s="2">
        <v>121.91999999999999</v>
      </c>
      <c r="Z37" s="2">
        <v>937.25999999999988</v>
      </c>
      <c r="AA37" s="2">
        <v>3225.7999999999997</v>
      </c>
      <c r="AB37" s="2">
        <v>3657.6</v>
      </c>
      <c r="AC37" s="2">
        <v>2458.7199999999998</v>
      </c>
      <c r="AD37" s="2">
        <v>2895.6</v>
      </c>
      <c r="AE37" s="2">
        <v>796.92499999999995</v>
      </c>
      <c r="AF37" s="2">
        <v>190.5</v>
      </c>
      <c r="AG37" s="2">
        <v>76.199999999999989</v>
      </c>
    </row>
    <row r="38" spans="1:33" x14ac:dyDescent="0.25">
      <c r="A38" s="1" t="s">
        <v>38</v>
      </c>
      <c r="B38" s="1">
        <v>724.73583877999999</v>
      </c>
      <c r="C38" s="1">
        <v>92257.87999999999</v>
      </c>
      <c r="D38" s="2">
        <v>998.21999999999991</v>
      </c>
      <c r="E38" s="2">
        <v>434.34000000000003</v>
      </c>
      <c r="F38" s="2">
        <v>38.099999999999994</v>
      </c>
      <c r="G38" s="2">
        <v>68.072000000000003</v>
      </c>
      <c r="H38" s="2">
        <v>92.201999999999998</v>
      </c>
      <c r="I38" s="2">
        <v>47.625</v>
      </c>
      <c r="J38" s="2">
        <v>14984331321.599998</v>
      </c>
      <c r="K38" s="2">
        <v>34904446.32</v>
      </c>
      <c r="L38" s="2">
        <v>29988327.119999997</v>
      </c>
      <c r="M38" s="2">
        <v>401.32</v>
      </c>
      <c r="N38" s="2">
        <v>936520707.5999999</v>
      </c>
      <c r="O38" s="1">
        <v>6751470.3679999998</v>
      </c>
      <c r="P38" s="2">
        <v>4309797.8319999995</v>
      </c>
      <c r="Q38" s="2">
        <v>100.58399999999999</v>
      </c>
      <c r="R38" s="1">
        <v>107387707.80479999</v>
      </c>
      <c r="S38" s="1">
        <v>202476043371232.38</v>
      </c>
      <c r="T38" s="1">
        <v>101290.12</v>
      </c>
      <c r="U38" s="2">
        <v>749216566.07999992</v>
      </c>
      <c r="V38" s="2">
        <v>6276245.5119999992</v>
      </c>
      <c r="W38" s="1">
        <v>1060</v>
      </c>
      <c r="X38" s="2">
        <v>17370287.84</v>
      </c>
      <c r="Y38" s="2">
        <v>120.396</v>
      </c>
      <c r="Z38" s="2">
        <v>929.64</v>
      </c>
      <c r="AA38" s="2">
        <v>3175</v>
      </c>
      <c r="AB38" s="2">
        <v>3606.7999999999997</v>
      </c>
      <c r="AC38" s="2">
        <v>2430.7799999999997</v>
      </c>
      <c r="AD38" s="2">
        <v>2870.2</v>
      </c>
      <c r="AE38" s="2">
        <v>796.92499999999995</v>
      </c>
      <c r="AF38" s="2">
        <v>190.5</v>
      </c>
      <c r="AG38" s="2">
        <v>76.199999999999989</v>
      </c>
    </row>
    <row r="39" spans="1:33" x14ac:dyDescent="0.25">
      <c r="A39" s="1" t="s">
        <v>39</v>
      </c>
      <c r="B39" s="1">
        <v>656.28029753999999</v>
      </c>
      <c r="C39" s="1">
        <v>83870.8</v>
      </c>
      <c r="D39" s="2">
        <v>988.06</v>
      </c>
      <c r="E39" s="2">
        <v>431.79999999999995</v>
      </c>
      <c r="F39" s="2">
        <v>34.544000000000004</v>
      </c>
      <c r="G39" s="2">
        <v>61.975999999999992</v>
      </c>
      <c r="H39" s="2">
        <v>86.105999999999995</v>
      </c>
      <c r="I39" s="2">
        <v>47.625</v>
      </c>
      <c r="J39" s="2">
        <v>13361028761.759998</v>
      </c>
      <c r="K39" s="2">
        <v>31299292.239999998</v>
      </c>
      <c r="L39" s="2">
        <v>27038655.599999998</v>
      </c>
      <c r="M39" s="2">
        <v>398.78</v>
      </c>
      <c r="N39" s="2">
        <v>828300536.94399989</v>
      </c>
      <c r="O39" s="1">
        <v>6030439.5519999992</v>
      </c>
      <c r="P39" s="2">
        <v>3850960.0399999996</v>
      </c>
      <c r="Q39" s="2">
        <v>99.567999999999998</v>
      </c>
      <c r="R39" s="1">
        <v>80748896.566399992</v>
      </c>
      <c r="S39" s="1">
        <v>177502207783003.44</v>
      </c>
      <c r="T39" s="1">
        <v>99354.64</v>
      </c>
      <c r="U39" s="2">
        <v>665970280.95999992</v>
      </c>
      <c r="V39" s="2">
        <v>5686311.2079999996</v>
      </c>
      <c r="W39" s="1">
        <v>950</v>
      </c>
      <c r="X39" s="2">
        <v>15567710.799999999</v>
      </c>
      <c r="Y39" s="2">
        <v>119.126</v>
      </c>
      <c r="Z39" s="2">
        <v>927.09999999999991</v>
      </c>
      <c r="AA39" s="2">
        <v>3149.6</v>
      </c>
      <c r="AB39" s="2">
        <v>3581.3999999999996</v>
      </c>
      <c r="AC39" s="2">
        <v>2407.9199999999996</v>
      </c>
      <c r="AD39" s="2">
        <v>2844.7999999999997</v>
      </c>
      <c r="AE39" s="2">
        <v>796.92499999999995</v>
      </c>
      <c r="AF39" s="2">
        <v>190.5</v>
      </c>
      <c r="AG39" s="2">
        <v>76.199999999999989</v>
      </c>
    </row>
    <row r="40" spans="1:33" x14ac:dyDescent="0.25">
      <c r="A40" s="1" t="s">
        <v>40</v>
      </c>
      <c r="B40" s="1">
        <v>587.82475629999999</v>
      </c>
      <c r="C40" s="1">
        <v>74838.559999999998</v>
      </c>
      <c r="D40" s="2">
        <v>975.3599999999999</v>
      </c>
      <c r="E40" s="2">
        <v>426.71999999999997</v>
      </c>
      <c r="F40" s="2">
        <v>30.987999999999996</v>
      </c>
      <c r="G40" s="2">
        <v>55.88</v>
      </c>
      <c r="H40" s="2">
        <v>80.009999999999991</v>
      </c>
      <c r="I40" s="2">
        <v>46.037499999999994</v>
      </c>
      <c r="J40" s="2">
        <v>11862595629.599998</v>
      </c>
      <c r="K40" s="2">
        <v>28021879.439999998</v>
      </c>
      <c r="L40" s="2">
        <v>24416725.359999999</v>
      </c>
      <c r="M40" s="2">
        <v>398.78</v>
      </c>
      <c r="N40" s="2">
        <v>728404994.79999995</v>
      </c>
      <c r="O40" s="1">
        <v>5325795.8</v>
      </c>
      <c r="P40" s="2">
        <v>3408509.3119999999</v>
      </c>
      <c r="Q40" s="2">
        <v>98.551999999999992</v>
      </c>
      <c r="R40" s="1">
        <v>59104862.435199991</v>
      </c>
      <c r="S40" s="1">
        <v>154408123260555.19</v>
      </c>
      <c r="T40" s="1">
        <v>98064.319999999992</v>
      </c>
      <c r="U40" s="2">
        <v>586886310.09599996</v>
      </c>
      <c r="V40" s="2">
        <v>5096376.9039999992</v>
      </c>
      <c r="W40" s="1">
        <v>847</v>
      </c>
      <c r="X40" s="2">
        <v>13879843.207999999</v>
      </c>
      <c r="Y40" s="2">
        <v>117.09400000000001</v>
      </c>
      <c r="Z40" s="2">
        <v>919.48</v>
      </c>
      <c r="AA40" s="2">
        <v>3124.2</v>
      </c>
      <c r="AB40" s="2">
        <v>3556</v>
      </c>
      <c r="AC40" s="2">
        <v>2377.4399999999996</v>
      </c>
      <c r="AD40" s="2">
        <v>2794</v>
      </c>
      <c r="AE40" s="2">
        <v>796.92499999999995</v>
      </c>
      <c r="AF40" s="2">
        <v>190.5</v>
      </c>
      <c r="AG40" s="2">
        <v>76.199999999999989</v>
      </c>
    </row>
    <row r="41" spans="1:33" x14ac:dyDescent="0.25">
      <c r="A41" s="1" t="s">
        <v>41</v>
      </c>
      <c r="B41" s="1">
        <v>537.22718234000001</v>
      </c>
      <c r="C41" s="1">
        <v>68386.959999999992</v>
      </c>
      <c r="D41" s="2">
        <v>965.19999999999993</v>
      </c>
      <c r="E41" s="2">
        <v>424.17999999999995</v>
      </c>
      <c r="F41" s="2">
        <v>28.448</v>
      </c>
      <c r="G41" s="2">
        <v>51.053999999999995</v>
      </c>
      <c r="H41" s="2">
        <v>75.183999999999997</v>
      </c>
      <c r="I41" s="2">
        <v>44.449999999999996</v>
      </c>
      <c r="J41" s="2">
        <v>10697147637.919998</v>
      </c>
      <c r="K41" s="2">
        <v>25399949.199999999</v>
      </c>
      <c r="L41" s="2">
        <v>22122536.399999999</v>
      </c>
      <c r="M41" s="2">
        <v>396.23999999999995</v>
      </c>
      <c r="N41" s="2">
        <v>653483338.19199991</v>
      </c>
      <c r="O41" s="1">
        <v>4801409.7519999994</v>
      </c>
      <c r="P41" s="2">
        <v>3080768.0319999997</v>
      </c>
      <c r="Q41" s="2">
        <v>97.789999999999992</v>
      </c>
      <c r="R41" s="1">
        <v>45369225.390399992</v>
      </c>
      <c r="S41" s="1">
        <v>136684756068908.86</v>
      </c>
      <c r="T41" s="1">
        <v>96774</v>
      </c>
      <c r="U41" s="2">
        <v>528613910.51199996</v>
      </c>
      <c r="V41" s="2">
        <v>4621152.0479999995</v>
      </c>
      <c r="W41" s="1">
        <v>767</v>
      </c>
      <c r="X41" s="2">
        <v>12568878.088</v>
      </c>
      <c r="Y41" s="2">
        <v>116.33199999999999</v>
      </c>
      <c r="Z41" s="2">
        <v>914.4</v>
      </c>
      <c r="AA41" s="2">
        <v>3098.7999999999997</v>
      </c>
      <c r="AB41" s="2">
        <v>3530.6</v>
      </c>
      <c r="AC41" s="2">
        <v>2354.58</v>
      </c>
      <c r="AD41" s="2">
        <v>2768.6</v>
      </c>
      <c r="AE41" s="2">
        <v>796.92499999999995</v>
      </c>
      <c r="AF41" s="2">
        <v>190.5</v>
      </c>
      <c r="AG41" s="2">
        <v>76.199999999999989</v>
      </c>
    </row>
    <row r="42" spans="1:33" x14ac:dyDescent="0.25">
      <c r="A42" s="1" t="s">
        <v>42</v>
      </c>
      <c r="B42" s="1">
        <v>491.09410020000001</v>
      </c>
      <c r="C42" s="1">
        <v>62516.004000000001</v>
      </c>
      <c r="D42" s="2">
        <v>957.58</v>
      </c>
      <c r="E42" s="2">
        <v>421.64</v>
      </c>
      <c r="F42" s="2">
        <v>25.907999999999998</v>
      </c>
      <c r="G42" s="2">
        <v>46.99</v>
      </c>
      <c r="H42" s="2">
        <v>71.11999999999999</v>
      </c>
      <c r="I42" s="2">
        <v>44.449999999999996</v>
      </c>
      <c r="J42" s="2">
        <v>9698192216.4799995</v>
      </c>
      <c r="K42" s="2">
        <v>23105760.239999998</v>
      </c>
      <c r="L42" s="2">
        <v>20319959.359999999</v>
      </c>
      <c r="M42" s="2">
        <v>393.7</v>
      </c>
      <c r="N42" s="2">
        <v>591048624.352</v>
      </c>
      <c r="O42" s="1">
        <v>4342571.96</v>
      </c>
      <c r="P42" s="2">
        <v>2802187.9439999997</v>
      </c>
      <c r="Q42" s="2">
        <v>97.281999999999996</v>
      </c>
      <c r="R42" s="1">
        <v>35088309.178079993</v>
      </c>
      <c r="S42" s="1">
        <v>122452355142283.77</v>
      </c>
      <c r="T42" s="1">
        <v>96128.84</v>
      </c>
      <c r="U42" s="2">
        <v>478666139.43999994</v>
      </c>
      <c r="V42" s="2">
        <v>4244249.5759999994</v>
      </c>
      <c r="W42" s="1">
        <v>698</v>
      </c>
      <c r="X42" s="2">
        <v>11438170.671999998</v>
      </c>
      <c r="Y42" s="2">
        <v>115.062</v>
      </c>
      <c r="Z42" s="2">
        <v>911.8599999999999</v>
      </c>
      <c r="AA42" s="2">
        <v>3073.3999999999996</v>
      </c>
      <c r="AB42" s="2">
        <v>3505.2</v>
      </c>
      <c r="AC42" s="2">
        <v>2336.7999999999997</v>
      </c>
      <c r="AD42" s="2">
        <v>2768.6</v>
      </c>
      <c r="AE42" s="2">
        <v>796.92499999999995</v>
      </c>
      <c r="AF42" s="2">
        <v>190.5</v>
      </c>
      <c r="AG42" s="2">
        <v>76.199999999999989</v>
      </c>
    </row>
    <row r="43" spans="1:33" x14ac:dyDescent="0.25">
      <c r="A43" s="1" t="s">
        <v>43</v>
      </c>
      <c r="B43" s="1">
        <v>449.42550987999999</v>
      </c>
      <c r="C43" s="1">
        <v>57419.24</v>
      </c>
      <c r="D43" s="2">
        <v>947.41999999999985</v>
      </c>
      <c r="E43" s="2">
        <v>424.17999999999995</v>
      </c>
      <c r="F43" s="2">
        <v>24.002999999999997</v>
      </c>
      <c r="G43" s="2">
        <v>42.671999999999997</v>
      </c>
      <c r="H43" s="2">
        <v>66.801999999999992</v>
      </c>
      <c r="I43" s="2">
        <v>42.862499999999997</v>
      </c>
      <c r="J43" s="2">
        <v>8782483080.1599998</v>
      </c>
      <c r="K43" s="2">
        <v>20975441.919999998</v>
      </c>
      <c r="L43" s="2">
        <v>18517382.319999997</v>
      </c>
      <c r="M43" s="2">
        <v>391.15999999999997</v>
      </c>
      <c r="N43" s="2">
        <v>541100853.27999997</v>
      </c>
      <c r="O43" s="1">
        <v>3949282.4239999996</v>
      </c>
      <c r="P43" s="2">
        <v>2556381.9839999997</v>
      </c>
      <c r="Q43" s="2">
        <v>97.027999999999992</v>
      </c>
      <c r="R43" s="1">
        <v>26763680.666079998</v>
      </c>
      <c r="S43" s="1">
        <v>110636777014519.55</v>
      </c>
      <c r="T43" s="1">
        <v>95483.68</v>
      </c>
      <c r="U43" s="2">
        <v>432880682.62399995</v>
      </c>
      <c r="V43" s="2">
        <v>3850960.0399999996</v>
      </c>
      <c r="W43" s="1">
        <v>635</v>
      </c>
      <c r="X43" s="2">
        <v>10405785.639999999</v>
      </c>
      <c r="Y43" s="2">
        <v>115.062</v>
      </c>
      <c r="Z43" s="2">
        <v>904.24</v>
      </c>
      <c r="AA43" s="2">
        <v>3073.3999999999996</v>
      </c>
      <c r="AB43" s="2">
        <v>3505.2</v>
      </c>
      <c r="AC43" s="2">
        <v>2319.02</v>
      </c>
      <c r="AD43" s="2">
        <v>2743.2</v>
      </c>
      <c r="AE43" s="2">
        <v>796.92499999999995</v>
      </c>
      <c r="AF43" s="2">
        <v>190.5</v>
      </c>
      <c r="AG43" s="2">
        <v>76.199999999999989</v>
      </c>
    </row>
    <row r="44" spans="1:33" x14ac:dyDescent="0.25">
      <c r="A44" s="1" t="s">
        <v>44</v>
      </c>
      <c r="B44" s="1">
        <v>419.66223107999997</v>
      </c>
      <c r="C44" s="1">
        <v>53483.764000000003</v>
      </c>
      <c r="D44" s="2">
        <v>942.34</v>
      </c>
      <c r="E44" s="2">
        <v>421.64</v>
      </c>
      <c r="F44" s="2">
        <v>22.478999999999999</v>
      </c>
      <c r="G44" s="2">
        <v>39.878</v>
      </c>
      <c r="H44" s="2">
        <v>64.007999999999996</v>
      </c>
      <c r="I44" s="2">
        <v>41.274999999999999</v>
      </c>
      <c r="J44" s="2">
        <v>8158135941.7599993</v>
      </c>
      <c r="K44" s="2">
        <v>19500606.159999996</v>
      </c>
      <c r="L44" s="2">
        <v>17206417.199999999</v>
      </c>
      <c r="M44" s="2">
        <v>391.15999999999997</v>
      </c>
      <c r="N44" s="2">
        <v>499477710.71999997</v>
      </c>
      <c r="O44" s="1">
        <v>3654315.2719999999</v>
      </c>
      <c r="P44" s="2">
        <v>2359737.216</v>
      </c>
      <c r="Q44" s="2">
        <v>96.52</v>
      </c>
      <c r="R44" s="1">
        <v>21935396.12912</v>
      </c>
      <c r="S44" s="1">
        <v>101506557552156.28</v>
      </c>
      <c r="T44" s="1">
        <v>94838.51999999999</v>
      </c>
      <c r="U44" s="2">
        <v>399582168.57599998</v>
      </c>
      <c r="V44" s="2">
        <v>3588767.0159999998</v>
      </c>
      <c r="W44" s="1">
        <v>591</v>
      </c>
      <c r="X44" s="2">
        <v>9684754.8239999991</v>
      </c>
      <c r="Y44" s="2">
        <v>114.3</v>
      </c>
      <c r="Z44" s="2">
        <v>901.69999999999993</v>
      </c>
      <c r="AA44" s="2">
        <v>3048</v>
      </c>
      <c r="AB44" s="2">
        <v>3479.7999999999997</v>
      </c>
      <c r="AC44" s="2">
        <v>2306.3199999999997</v>
      </c>
      <c r="AD44" s="2">
        <v>2717.7999999999997</v>
      </c>
      <c r="AE44" s="2">
        <v>796.92499999999995</v>
      </c>
      <c r="AF44" s="2">
        <v>190.5</v>
      </c>
      <c r="AG44" s="2">
        <v>76.199999999999989</v>
      </c>
    </row>
    <row r="45" spans="1:33" x14ac:dyDescent="0.25">
      <c r="A45" s="1" t="s">
        <v>45</v>
      </c>
      <c r="B45" s="1">
        <v>389.89895228</v>
      </c>
      <c r="C45" s="1">
        <v>49806.351999999999</v>
      </c>
      <c r="D45" s="2">
        <v>937.25999999999988</v>
      </c>
      <c r="E45" s="2">
        <v>421.64</v>
      </c>
      <c r="F45" s="2">
        <v>21.335999999999999</v>
      </c>
      <c r="G45" s="2">
        <v>36.575999999999993</v>
      </c>
      <c r="H45" s="2">
        <v>60.706000000000003</v>
      </c>
      <c r="I45" s="2">
        <v>41.274999999999999</v>
      </c>
      <c r="J45" s="2">
        <v>7450542518.2399988</v>
      </c>
      <c r="K45" s="2">
        <v>18025770.399999999</v>
      </c>
      <c r="L45" s="2">
        <v>15928226.207999999</v>
      </c>
      <c r="M45" s="2">
        <v>388.62</v>
      </c>
      <c r="N45" s="2">
        <v>453692253.90399998</v>
      </c>
      <c r="O45" s="1">
        <v>3342961.0559999999</v>
      </c>
      <c r="P45" s="2">
        <v>2163092.4479999999</v>
      </c>
      <c r="Q45" s="2">
        <v>95.503999999999991</v>
      </c>
      <c r="R45" s="1">
        <v>17315227.304959998</v>
      </c>
      <c r="S45" s="1">
        <v>91839266356712.828</v>
      </c>
      <c r="T45" s="1">
        <v>94838.51999999999</v>
      </c>
      <c r="U45" s="2">
        <v>363370034.54879999</v>
      </c>
      <c r="V45" s="2">
        <v>3277412.8</v>
      </c>
      <c r="W45" s="1">
        <v>543</v>
      </c>
      <c r="X45" s="2">
        <v>8898175.7519999985</v>
      </c>
      <c r="Y45" s="2">
        <v>113.28399999999999</v>
      </c>
      <c r="Z45" s="2">
        <v>901.69999999999993</v>
      </c>
      <c r="AA45" s="2">
        <v>3048</v>
      </c>
      <c r="AB45" s="2">
        <v>3479.7999999999997</v>
      </c>
      <c r="AC45" s="2">
        <v>2296.16</v>
      </c>
      <c r="AD45" s="2">
        <v>2717.7999999999997</v>
      </c>
      <c r="AE45" s="2">
        <v>796.92499999999995</v>
      </c>
      <c r="AF45" s="2">
        <v>190.5</v>
      </c>
      <c r="AG45" s="2">
        <v>76.199999999999989</v>
      </c>
    </row>
    <row r="46" spans="1:33" x14ac:dyDescent="0.25">
      <c r="A46" s="1" t="s">
        <v>46</v>
      </c>
      <c r="B46" s="1">
        <v>367.57649318</v>
      </c>
      <c r="C46" s="1">
        <v>46774.1</v>
      </c>
      <c r="D46" s="2">
        <v>932.18000000000006</v>
      </c>
      <c r="E46" s="2">
        <v>419.09999999999997</v>
      </c>
      <c r="F46" s="2">
        <v>20.32</v>
      </c>
      <c r="G46" s="2">
        <v>34.29</v>
      </c>
      <c r="H46" s="2">
        <v>58.419999999999995</v>
      </c>
      <c r="I46" s="2">
        <v>41.274999999999999</v>
      </c>
      <c r="J46" s="2">
        <v>6951064807.5199995</v>
      </c>
      <c r="K46" s="2">
        <v>16878675.919999998</v>
      </c>
      <c r="L46" s="2">
        <v>14961389.431999998</v>
      </c>
      <c r="M46" s="2">
        <v>386.08</v>
      </c>
      <c r="N46" s="2">
        <v>420393739.85599995</v>
      </c>
      <c r="O46" s="1">
        <v>3113542.1599999997</v>
      </c>
      <c r="P46" s="2">
        <v>2015608.8719999997</v>
      </c>
      <c r="Q46" s="2">
        <v>94.995999999999995</v>
      </c>
      <c r="R46" s="1">
        <v>14443230.468319999</v>
      </c>
      <c r="S46" s="1">
        <v>84857333826670.328</v>
      </c>
      <c r="T46" s="1">
        <v>94193.36</v>
      </c>
      <c r="U46" s="2">
        <v>337979917.58719999</v>
      </c>
      <c r="V46" s="2">
        <v>3064380.9679999999</v>
      </c>
      <c r="W46" s="1">
        <v>509</v>
      </c>
      <c r="X46" s="2">
        <v>8341015.5759999994</v>
      </c>
      <c r="Y46" s="2">
        <v>112.26799999999999</v>
      </c>
      <c r="Z46" s="2">
        <v>899.16</v>
      </c>
      <c r="AA46" s="2">
        <v>3048</v>
      </c>
      <c r="AB46" s="2">
        <v>3454.3999999999996</v>
      </c>
      <c r="AC46" s="2">
        <v>2283.46</v>
      </c>
      <c r="AD46" s="2">
        <v>2692.3999999999996</v>
      </c>
      <c r="AE46" s="2">
        <v>796.92499999999995</v>
      </c>
      <c r="AF46" s="2">
        <v>190.5</v>
      </c>
      <c r="AG46" s="2">
        <v>76.199999999999989</v>
      </c>
    </row>
    <row r="47" spans="1:33" x14ac:dyDescent="0.25">
      <c r="A47" s="1" t="s">
        <v>47</v>
      </c>
      <c r="B47" s="1">
        <v>343.76587014</v>
      </c>
      <c r="C47" s="1">
        <v>43999.911999999997</v>
      </c>
      <c r="D47" s="2">
        <v>927.09999999999991</v>
      </c>
      <c r="E47" s="2">
        <v>419.09999999999997</v>
      </c>
      <c r="F47" s="2">
        <v>19.303999999999998</v>
      </c>
      <c r="G47" s="2">
        <v>32.003999999999998</v>
      </c>
      <c r="H47" s="2">
        <v>56.133999999999993</v>
      </c>
      <c r="I47" s="2">
        <v>39.6875</v>
      </c>
      <c r="J47" s="2">
        <v>6493210239.3599997</v>
      </c>
      <c r="K47" s="2">
        <v>15780742.631999999</v>
      </c>
      <c r="L47" s="2">
        <v>13994552.655999999</v>
      </c>
      <c r="M47" s="2">
        <v>383.53999999999996</v>
      </c>
      <c r="N47" s="2">
        <v>391257540.06399995</v>
      </c>
      <c r="O47" s="1">
        <v>2884123.2639999995</v>
      </c>
      <c r="P47" s="2">
        <v>1868125.2959999999</v>
      </c>
      <c r="Q47" s="2">
        <v>94.233999999999995</v>
      </c>
      <c r="R47" s="1">
        <v>11945841.914719999</v>
      </c>
      <c r="S47" s="1">
        <v>78412473029708.031</v>
      </c>
      <c r="T47" s="1">
        <v>93548.2</v>
      </c>
      <c r="U47" s="2">
        <v>314670957.75359994</v>
      </c>
      <c r="V47" s="2">
        <v>2867736.1999999997</v>
      </c>
      <c r="W47" s="1">
        <v>476</v>
      </c>
      <c r="X47" s="2">
        <v>7800242.4639999997</v>
      </c>
      <c r="Y47" s="2">
        <v>111.76</v>
      </c>
      <c r="Z47" s="2">
        <v>894.08</v>
      </c>
      <c r="AA47" s="2">
        <v>3048</v>
      </c>
      <c r="AB47" s="2">
        <v>3454.3999999999996</v>
      </c>
      <c r="AC47" s="2">
        <v>2273.2999999999997</v>
      </c>
      <c r="AD47" s="2">
        <v>2692.3999999999996</v>
      </c>
      <c r="AE47" s="2">
        <v>796.92499999999995</v>
      </c>
      <c r="AF47" s="2">
        <v>190.5</v>
      </c>
      <c r="AG47" s="2">
        <v>76.199999999999989</v>
      </c>
    </row>
    <row r="48" spans="1:33" x14ac:dyDescent="0.25">
      <c r="A48" s="1" t="s">
        <v>48</v>
      </c>
      <c r="B48" s="1">
        <v>575.91944477999994</v>
      </c>
      <c r="C48" s="1">
        <v>73548.239999999991</v>
      </c>
      <c r="D48" s="2">
        <v>993.14</v>
      </c>
      <c r="E48" s="2">
        <v>322.58</v>
      </c>
      <c r="F48" s="2">
        <v>36.067999999999998</v>
      </c>
      <c r="G48" s="2">
        <v>65.024000000000001</v>
      </c>
      <c r="H48" s="2">
        <v>84.073999999999998</v>
      </c>
      <c r="I48" s="2">
        <v>49.212499999999999</v>
      </c>
      <c r="J48" s="2">
        <v>11030132778.4</v>
      </c>
      <c r="K48" s="2">
        <v>26383173.039999999</v>
      </c>
      <c r="L48" s="2">
        <v>22286407.039999999</v>
      </c>
      <c r="M48" s="2">
        <v>386.08</v>
      </c>
      <c r="N48" s="2">
        <v>367116117.37919998</v>
      </c>
      <c r="O48" s="1">
        <v>3670702.3359999997</v>
      </c>
      <c r="P48" s="2">
        <v>2277801.8959999997</v>
      </c>
      <c r="Q48" s="2">
        <v>70.611999999999995</v>
      </c>
      <c r="R48" s="1">
        <v>71591805.203199998</v>
      </c>
      <c r="S48" s="1">
        <v>78949544762788.219</v>
      </c>
      <c r="T48" s="1">
        <v>74838.559999999998</v>
      </c>
      <c r="U48" s="2">
        <v>392506234.34079999</v>
      </c>
      <c r="V48" s="2">
        <v>4326184.8959999997</v>
      </c>
      <c r="W48" s="1">
        <v>799</v>
      </c>
      <c r="X48" s="2">
        <v>13093264.135999998</v>
      </c>
      <c r="Y48" s="2">
        <v>87.375999999999991</v>
      </c>
      <c r="Z48" s="2">
        <v>927.09999999999991</v>
      </c>
      <c r="AA48" s="2">
        <v>2844.7999999999997</v>
      </c>
      <c r="AB48" s="2">
        <v>3175</v>
      </c>
      <c r="AC48" s="2">
        <v>2308.86</v>
      </c>
      <c r="AD48" s="2">
        <v>2641.6</v>
      </c>
      <c r="AE48" s="2">
        <v>800.09999999999991</v>
      </c>
      <c r="AF48" s="2">
        <v>139.69999999999999</v>
      </c>
      <c r="AG48" s="2"/>
    </row>
    <row r="49" spans="1:33" x14ac:dyDescent="0.25">
      <c r="A49" s="1" t="s">
        <v>49</v>
      </c>
      <c r="B49" s="1">
        <v>520.85737900000004</v>
      </c>
      <c r="C49" s="1">
        <v>66451.48</v>
      </c>
      <c r="D49" s="2">
        <v>980.43999999999994</v>
      </c>
      <c r="E49" s="2">
        <v>320.03999999999996</v>
      </c>
      <c r="F49" s="2">
        <v>33.019999999999996</v>
      </c>
      <c r="G49" s="2">
        <v>58.92799999999999</v>
      </c>
      <c r="H49" s="2">
        <v>77.977999999999994</v>
      </c>
      <c r="I49" s="2">
        <v>47.625</v>
      </c>
      <c r="J49" s="2">
        <v>9823061644.1599998</v>
      </c>
      <c r="K49" s="2">
        <v>23597372.159999996</v>
      </c>
      <c r="L49" s="2">
        <v>19992218.079999998</v>
      </c>
      <c r="M49" s="2">
        <v>383.53999999999996</v>
      </c>
      <c r="N49" s="2">
        <v>324660511.96799999</v>
      </c>
      <c r="O49" s="1">
        <v>3261025.7359999996</v>
      </c>
      <c r="P49" s="2">
        <v>2031995.9359999998</v>
      </c>
      <c r="Q49" s="2">
        <v>69.849999999999994</v>
      </c>
      <c r="R49" s="1">
        <v>53693853.902399994</v>
      </c>
      <c r="S49" s="1">
        <v>69013717700804.672</v>
      </c>
      <c r="T49" s="1">
        <v>73548.239999999991</v>
      </c>
      <c r="U49" s="2">
        <v>347553240.37599999</v>
      </c>
      <c r="V49" s="2">
        <v>3900121.2319999998</v>
      </c>
      <c r="W49" s="1">
        <v>718</v>
      </c>
      <c r="X49" s="2">
        <v>11765911.952</v>
      </c>
      <c r="Y49" s="2">
        <v>86.614000000000004</v>
      </c>
      <c r="Z49" s="2">
        <v>922.01999999999987</v>
      </c>
      <c r="AA49" s="2">
        <v>2819.3999999999996</v>
      </c>
      <c r="AB49" s="2">
        <v>3149.6</v>
      </c>
      <c r="AC49" s="2">
        <v>2280.9199999999996</v>
      </c>
      <c r="AD49" s="2">
        <v>2590.7999999999997</v>
      </c>
      <c r="AE49" s="2">
        <v>800.09999999999991</v>
      </c>
      <c r="AF49" s="2">
        <v>139.69999999999999</v>
      </c>
      <c r="AG49" s="2"/>
    </row>
    <row r="50" spans="1:33" x14ac:dyDescent="0.25">
      <c r="A50" s="1" t="s">
        <v>50</v>
      </c>
      <c r="B50" s="1">
        <v>473.23613291999999</v>
      </c>
      <c r="C50" s="1">
        <v>60257.944000000003</v>
      </c>
      <c r="D50" s="2">
        <v>970.28</v>
      </c>
      <c r="E50" s="2">
        <v>314.95999999999998</v>
      </c>
      <c r="F50" s="2">
        <v>29.971999999999998</v>
      </c>
      <c r="G50" s="2">
        <v>54.101999999999997</v>
      </c>
      <c r="H50" s="2">
        <v>73.151999999999987</v>
      </c>
      <c r="I50" s="2">
        <v>46.037499999999994</v>
      </c>
      <c r="J50" s="2">
        <v>8824106222.7199993</v>
      </c>
      <c r="K50" s="2">
        <v>21303183.199999999</v>
      </c>
      <c r="L50" s="2">
        <v>18189641.039999999</v>
      </c>
      <c r="M50" s="2">
        <v>383.53999999999996</v>
      </c>
      <c r="N50" s="2">
        <v>283869832.25919998</v>
      </c>
      <c r="O50" s="1">
        <v>2884123.2639999995</v>
      </c>
      <c r="P50" s="2">
        <v>1802577.0399999998</v>
      </c>
      <c r="Q50" s="2">
        <v>68.58</v>
      </c>
      <c r="R50" s="1">
        <v>40915549.136479996</v>
      </c>
      <c r="S50" s="1">
        <v>59614962371901.313</v>
      </c>
      <c r="T50" s="1">
        <v>72257.919999999998</v>
      </c>
      <c r="U50" s="2">
        <v>307178792.09279996</v>
      </c>
      <c r="V50" s="2">
        <v>3539605.8239999996</v>
      </c>
      <c r="W50" s="1">
        <v>646</v>
      </c>
      <c r="X50" s="2">
        <v>10586043.343999999</v>
      </c>
      <c r="Y50" s="2">
        <v>84.581999999999994</v>
      </c>
      <c r="Z50" s="2">
        <v>916.93999999999994</v>
      </c>
      <c r="AA50" s="2">
        <v>2794</v>
      </c>
      <c r="AB50" s="2">
        <v>3098.7999999999997</v>
      </c>
      <c r="AC50" s="2">
        <v>2255.52</v>
      </c>
      <c r="AD50" s="2">
        <v>2565.3999999999996</v>
      </c>
      <c r="AE50" s="2">
        <v>800.09999999999991</v>
      </c>
      <c r="AF50" s="2">
        <v>139.69999999999999</v>
      </c>
      <c r="AG50" s="2"/>
    </row>
    <row r="51" spans="1:33" x14ac:dyDescent="0.25">
      <c r="A51" s="1" t="s">
        <v>51</v>
      </c>
      <c r="B51" s="1">
        <v>425.61488684</v>
      </c>
      <c r="C51" s="1">
        <v>54128.923999999999</v>
      </c>
      <c r="D51" s="2">
        <v>960.11999999999989</v>
      </c>
      <c r="E51" s="2">
        <v>312.42</v>
      </c>
      <c r="F51" s="2">
        <v>26.923999999999999</v>
      </c>
      <c r="G51" s="2">
        <v>49.021999999999998</v>
      </c>
      <c r="H51" s="2">
        <v>68.072000000000003</v>
      </c>
      <c r="I51" s="2">
        <v>44.449999999999996</v>
      </c>
      <c r="J51" s="2">
        <v>7866773943.8399992</v>
      </c>
      <c r="K51" s="2">
        <v>19008994.239999998</v>
      </c>
      <c r="L51" s="2">
        <v>16387063.999999998</v>
      </c>
      <c r="M51" s="2">
        <v>381</v>
      </c>
      <c r="N51" s="2">
        <v>250571318.21119997</v>
      </c>
      <c r="O51" s="1">
        <v>2556381.9839999997</v>
      </c>
      <c r="P51" s="2">
        <v>1604293.5655999999</v>
      </c>
      <c r="Q51" s="2">
        <v>68.072000000000003</v>
      </c>
      <c r="R51" s="1">
        <v>30301647.783679996</v>
      </c>
      <c r="S51" s="1">
        <v>52095958108778.617</v>
      </c>
      <c r="T51" s="1">
        <v>70967.599999999991</v>
      </c>
      <c r="U51" s="2">
        <v>272631583.76799995</v>
      </c>
      <c r="V51" s="2">
        <v>3195477.4799999995</v>
      </c>
      <c r="W51" s="1">
        <v>578</v>
      </c>
      <c r="X51" s="2">
        <v>9471722.9919999987</v>
      </c>
      <c r="Y51" s="2">
        <v>83.566000000000003</v>
      </c>
      <c r="Z51" s="2">
        <v>911.8599999999999</v>
      </c>
      <c r="AA51" s="2">
        <v>2768.6</v>
      </c>
      <c r="AB51" s="2">
        <v>3073.3999999999996</v>
      </c>
      <c r="AC51" s="2">
        <v>2232.66</v>
      </c>
      <c r="AD51" s="2">
        <v>2540</v>
      </c>
      <c r="AE51" s="2">
        <v>800.09999999999991</v>
      </c>
      <c r="AF51" s="2">
        <v>139.69999999999999</v>
      </c>
      <c r="AG51" s="2"/>
    </row>
    <row r="52" spans="1:33" x14ac:dyDescent="0.25">
      <c r="A52" s="1" t="s">
        <v>52</v>
      </c>
      <c r="B52" s="1">
        <v>380.96996863999999</v>
      </c>
      <c r="C52" s="1">
        <v>48580.547999999995</v>
      </c>
      <c r="D52" s="2">
        <v>949.95999999999992</v>
      </c>
      <c r="E52" s="2">
        <v>309.87999999999994</v>
      </c>
      <c r="F52" s="2">
        <v>24.383999999999997</v>
      </c>
      <c r="G52" s="2">
        <v>43.942</v>
      </c>
      <c r="H52" s="2">
        <v>62.991999999999997</v>
      </c>
      <c r="I52" s="2">
        <v>42.862499999999997</v>
      </c>
      <c r="J52" s="2">
        <v>6992687950.079999</v>
      </c>
      <c r="K52" s="2">
        <v>17042546.559999999</v>
      </c>
      <c r="L52" s="2">
        <v>14666422.279999999</v>
      </c>
      <c r="M52" s="2">
        <v>378.46</v>
      </c>
      <c r="N52" s="2">
        <v>219770192.71679997</v>
      </c>
      <c r="O52" s="1">
        <v>2245027.7679999997</v>
      </c>
      <c r="P52" s="2">
        <v>1417481.0359999998</v>
      </c>
      <c r="Q52" s="2">
        <v>67.309999999999988</v>
      </c>
      <c r="R52" s="1">
        <v>22018642.414239999</v>
      </c>
      <c r="S52" s="1">
        <v>45114025578736.125</v>
      </c>
      <c r="T52" s="1">
        <v>70322.44</v>
      </c>
      <c r="U52" s="2">
        <v>239749301.14559996</v>
      </c>
      <c r="V52" s="2">
        <v>2851349.1359999999</v>
      </c>
      <c r="W52" s="1">
        <v>516</v>
      </c>
      <c r="X52" s="2">
        <v>8455725.0239999983</v>
      </c>
      <c r="Y52" s="2">
        <v>82.296000000000006</v>
      </c>
      <c r="Z52" s="2">
        <v>906.78</v>
      </c>
      <c r="AA52" s="2">
        <v>2743.2</v>
      </c>
      <c r="AB52" s="2">
        <v>3048</v>
      </c>
      <c r="AC52" s="2">
        <v>2209.7999999999997</v>
      </c>
      <c r="AD52" s="2">
        <v>2519.6799999999998</v>
      </c>
      <c r="AE52" s="2">
        <v>800.09999999999991</v>
      </c>
      <c r="AF52" s="2">
        <v>139.69999999999999</v>
      </c>
      <c r="AG52" s="2"/>
    </row>
    <row r="53" spans="1:33" x14ac:dyDescent="0.25">
      <c r="A53" s="1" t="s">
        <v>53</v>
      </c>
      <c r="B53" s="1">
        <v>345.25403408</v>
      </c>
      <c r="C53" s="1">
        <v>43870.879999999997</v>
      </c>
      <c r="D53" s="2">
        <v>942.34</v>
      </c>
      <c r="E53" s="2">
        <v>307.33999999999997</v>
      </c>
      <c r="F53" s="2">
        <v>22.097999999999999</v>
      </c>
      <c r="G53" s="2">
        <v>39.878</v>
      </c>
      <c r="H53" s="2">
        <v>58.92799999999999</v>
      </c>
      <c r="I53" s="2">
        <v>41.274999999999999</v>
      </c>
      <c r="J53" s="2">
        <v>6243471383.999999</v>
      </c>
      <c r="K53" s="2">
        <v>15338291.903999999</v>
      </c>
      <c r="L53" s="2">
        <v>13257134.775999999</v>
      </c>
      <c r="M53" s="2">
        <v>375.92</v>
      </c>
      <c r="N53" s="2">
        <v>194796307.18079999</v>
      </c>
      <c r="O53" s="1">
        <v>1999221.8079999997</v>
      </c>
      <c r="P53" s="2">
        <v>1265081.3407999999</v>
      </c>
      <c r="Q53" s="2">
        <v>66.548000000000002</v>
      </c>
      <c r="R53" s="1">
        <v>16482764.453759998</v>
      </c>
      <c r="S53" s="1">
        <v>39743308247934.203</v>
      </c>
      <c r="T53" s="1">
        <v>69677.279999999999</v>
      </c>
      <c r="U53" s="2">
        <v>213110489.90719998</v>
      </c>
      <c r="V53" s="2">
        <v>2572769.048</v>
      </c>
      <c r="W53" s="1">
        <v>464</v>
      </c>
      <c r="X53" s="2">
        <v>7603597.6959999995</v>
      </c>
      <c r="Y53" s="2">
        <v>81.533999999999992</v>
      </c>
      <c r="Z53" s="2">
        <v>901.69999999999993</v>
      </c>
      <c r="AA53" s="2">
        <v>2743.2</v>
      </c>
      <c r="AB53" s="2">
        <v>3048</v>
      </c>
      <c r="AC53" s="2">
        <v>2192.02</v>
      </c>
      <c r="AD53" s="2">
        <v>2499.36</v>
      </c>
      <c r="AE53" s="2">
        <v>800.09999999999991</v>
      </c>
      <c r="AF53" s="2">
        <v>139.69999999999999</v>
      </c>
      <c r="AG53" s="2"/>
    </row>
    <row r="54" spans="1:33" x14ac:dyDescent="0.25">
      <c r="A54" s="1" t="s">
        <v>54</v>
      </c>
      <c r="B54" s="1">
        <v>312.51442739999999</v>
      </c>
      <c r="C54" s="1">
        <v>39935.403999999995</v>
      </c>
      <c r="D54" s="2">
        <v>932.18000000000006</v>
      </c>
      <c r="E54" s="2">
        <v>309.87999999999994</v>
      </c>
      <c r="F54" s="2">
        <v>21.081999999999997</v>
      </c>
      <c r="G54" s="2">
        <v>34.544000000000004</v>
      </c>
      <c r="H54" s="2">
        <v>53.593999999999994</v>
      </c>
      <c r="I54" s="2">
        <v>41.274999999999999</v>
      </c>
      <c r="J54" s="2">
        <v>5494254817.9199991</v>
      </c>
      <c r="K54" s="2">
        <v>13650424.311999999</v>
      </c>
      <c r="L54" s="2">
        <v>11782299.015999999</v>
      </c>
      <c r="M54" s="2">
        <v>370.84</v>
      </c>
      <c r="N54" s="2">
        <v>171071115.92159998</v>
      </c>
      <c r="O54" s="1">
        <v>1753415.8479999998</v>
      </c>
      <c r="P54" s="2">
        <v>1106126.8199999998</v>
      </c>
      <c r="Q54" s="2">
        <v>65.531999999999996</v>
      </c>
      <c r="R54" s="1">
        <v>11654479.9168</v>
      </c>
      <c r="S54" s="1">
        <v>34372590917132.285</v>
      </c>
      <c r="T54" s="1">
        <v>69677.279999999999</v>
      </c>
      <c r="U54" s="2">
        <v>185639215.81759998</v>
      </c>
      <c r="V54" s="2">
        <v>2228640.7039999999</v>
      </c>
      <c r="W54" s="1">
        <v>412</v>
      </c>
      <c r="X54" s="2">
        <v>6751470.3679999998</v>
      </c>
      <c r="Y54" s="2">
        <v>80.772000000000006</v>
      </c>
      <c r="Z54" s="2">
        <v>896.61999999999989</v>
      </c>
      <c r="AA54" s="2">
        <v>2717.7999999999997</v>
      </c>
      <c r="AB54" s="2">
        <v>3022.6</v>
      </c>
      <c r="AC54" s="2">
        <v>2174.2399999999998</v>
      </c>
      <c r="AD54" s="2">
        <v>2484.12</v>
      </c>
      <c r="AE54" s="2">
        <v>800.09999999999991</v>
      </c>
      <c r="AF54" s="2">
        <v>139.69999999999999</v>
      </c>
      <c r="AG54" s="2"/>
    </row>
    <row r="55" spans="1:33" x14ac:dyDescent="0.25">
      <c r="A55" s="1" t="s">
        <v>55</v>
      </c>
      <c r="B55" s="1">
        <v>288.70380435999999</v>
      </c>
      <c r="C55" s="1">
        <v>36774.119999999995</v>
      </c>
      <c r="D55" s="2">
        <v>927.09999999999991</v>
      </c>
      <c r="E55" s="2">
        <v>307.33999999999997</v>
      </c>
      <c r="F55" s="2">
        <v>19.431000000000001</v>
      </c>
      <c r="G55" s="2">
        <v>32.003999999999998</v>
      </c>
      <c r="H55" s="2">
        <v>51.053999999999995</v>
      </c>
      <c r="I55" s="2">
        <v>39.6875</v>
      </c>
      <c r="J55" s="2">
        <v>5036400249.7599993</v>
      </c>
      <c r="K55" s="2">
        <v>12568878.088</v>
      </c>
      <c r="L55" s="2">
        <v>10881010.495999999</v>
      </c>
      <c r="M55" s="2">
        <v>370.84</v>
      </c>
      <c r="N55" s="2">
        <v>156086784.59999999</v>
      </c>
      <c r="O55" s="1">
        <v>1601016.1527999998</v>
      </c>
      <c r="P55" s="2">
        <v>1014359.2615999999</v>
      </c>
      <c r="Q55" s="2">
        <v>65.024000000000001</v>
      </c>
      <c r="R55" s="1">
        <v>9240337.6483199988</v>
      </c>
      <c r="S55" s="1">
        <v>31150160518651.133</v>
      </c>
      <c r="T55" s="1">
        <v>69032.12</v>
      </c>
      <c r="U55" s="2">
        <v>169406190.21919999</v>
      </c>
      <c r="V55" s="2">
        <v>2064770.0639999998</v>
      </c>
      <c r="W55" s="1">
        <v>379</v>
      </c>
      <c r="X55" s="2">
        <v>6210697.2559999991</v>
      </c>
      <c r="Y55" s="2">
        <v>80.009999999999991</v>
      </c>
      <c r="Z55" s="2">
        <v>894.08</v>
      </c>
      <c r="AA55" s="2">
        <v>2717.7999999999997</v>
      </c>
      <c r="AB55" s="2">
        <v>3022.6</v>
      </c>
      <c r="AC55" s="2">
        <v>2161.5399999999995</v>
      </c>
      <c r="AD55" s="2">
        <v>2468.88</v>
      </c>
      <c r="AE55" s="2">
        <v>800.09999999999991</v>
      </c>
      <c r="AF55" s="2">
        <v>139.69999999999999</v>
      </c>
      <c r="AG55" s="2"/>
    </row>
    <row r="56" spans="1:33" x14ac:dyDescent="0.25">
      <c r="A56" s="1" t="s">
        <v>56</v>
      </c>
      <c r="B56" s="1">
        <v>270.84583707999997</v>
      </c>
      <c r="C56" s="1">
        <v>34580.576000000001</v>
      </c>
      <c r="D56" s="2">
        <v>922.01999999999987</v>
      </c>
      <c r="E56" s="2">
        <v>307.33999999999997</v>
      </c>
      <c r="F56" s="2">
        <v>18.414999999999999</v>
      </c>
      <c r="G56" s="2">
        <v>29.971999999999998</v>
      </c>
      <c r="H56" s="2">
        <v>49.021999999999998</v>
      </c>
      <c r="I56" s="2">
        <v>39.6875</v>
      </c>
      <c r="J56" s="2">
        <v>4703415109.2799997</v>
      </c>
      <c r="K56" s="2">
        <v>11765911.952</v>
      </c>
      <c r="L56" s="2">
        <v>10209140.872</v>
      </c>
      <c r="M56" s="2">
        <v>368.29999999999995</v>
      </c>
      <c r="N56" s="2">
        <v>144432304.68319997</v>
      </c>
      <c r="O56" s="1">
        <v>1486306.7047999999</v>
      </c>
      <c r="P56" s="2">
        <v>943894.88639999996</v>
      </c>
      <c r="Q56" s="2">
        <v>64.77</v>
      </c>
      <c r="R56" s="1">
        <v>7700281.3735999996</v>
      </c>
      <c r="S56" s="1">
        <v>28733337719790.27</v>
      </c>
      <c r="T56" s="1">
        <v>68386.959999999992</v>
      </c>
      <c r="U56" s="2">
        <v>157335478.87679997</v>
      </c>
      <c r="V56" s="2">
        <v>1933673.5519999999</v>
      </c>
      <c r="W56" s="1">
        <v>355</v>
      </c>
      <c r="X56" s="2">
        <v>5817407.7199999997</v>
      </c>
      <c r="Y56" s="2">
        <v>79.501999999999995</v>
      </c>
      <c r="Z56" s="2">
        <v>891.54</v>
      </c>
      <c r="AA56" s="2">
        <v>2692.3999999999996</v>
      </c>
      <c r="AB56" s="2">
        <v>2997.2</v>
      </c>
      <c r="AC56" s="2">
        <v>2151.38</v>
      </c>
      <c r="AD56" s="2">
        <v>2458.7199999999998</v>
      </c>
      <c r="AE56" s="2">
        <v>800.09999999999991</v>
      </c>
      <c r="AF56" s="2">
        <v>139.69999999999999</v>
      </c>
      <c r="AG56" s="2"/>
    </row>
    <row r="57" spans="1:33" x14ac:dyDescent="0.25">
      <c r="A57" s="1" t="s">
        <v>57</v>
      </c>
      <c r="B57" s="1">
        <v>252.9878698</v>
      </c>
      <c r="C57" s="1">
        <v>32258</v>
      </c>
      <c r="D57" s="2">
        <v>919.48</v>
      </c>
      <c r="E57" s="2">
        <v>304.79999999999995</v>
      </c>
      <c r="F57" s="2">
        <v>17.272000000000002</v>
      </c>
      <c r="G57" s="2">
        <v>27.94</v>
      </c>
      <c r="H57" s="2">
        <v>46.99</v>
      </c>
      <c r="I57" s="2">
        <v>39.6875</v>
      </c>
      <c r="J57" s="2">
        <v>4370429968.7999992</v>
      </c>
      <c r="K57" s="2">
        <v>10946558.751999998</v>
      </c>
      <c r="L57" s="2">
        <v>9520884.1839999985</v>
      </c>
      <c r="M57" s="2">
        <v>368.29999999999995</v>
      </c>
      <c r="N57" s="2">
        <v>133194056.19199999</v>
      </c>
      <c r="O57" s="1">
        <v>1373235.9631999999</v>
      </c>
      <c r="P57" s="2">
        <v>871791.80479999993</v>
      </c>
      <c r="Q57" s="2">
        <v>64.261999999999986</v>
      </c>
      <c r="R57" s="1">
        <v>6285094.5265599992</v>
      </c>
      <c r="S57" s="1">
        <v>26450782854199.453</v>
      </c>
      <c r="T57" s="1">
        <v>67741.8</v>
      </c>
      <c r="U57" s="2">
        <v>145264767.53439999</v>
      </c>
      <c r="V57" s="2">
        <v>1786189.9759999998</v>
      </c>
      <c r="W57" s="1">
        <v>330</v>
      </c>
      <c r="X57" s="2">
        <v>5407731.1199999992</v>
      </c>
      <c r="Y57" s="2">
        <v>78.993999999999986</v>
      </c>
      <c r="Z57" s="2">
        <v>891.54</v>
      </c>
      <c r="AA57" s="2">
        <v>2692.3999999999996</v>
      </c>
      <c r="AB57" s="2">
        <v>2997.2</v>
      </c>
      <c r="AC57" s="2">
        <v>2143.7600000000002</v>
      </c>
      <c r="AD57" s="2">
        <v>2448.56</v>
      </c>
      <c r="AE57" s="2">
        <v>800.09999999999991</v>
      </c>
      <c r="AF57" s="2">
        <v>139.69999999999999</v>
      </c>
      <c r="AG57" s="2"/>
    </row>
    <row r="58" spans="1:33" x14ac:dyDescent="0.25">
      <c r="A58" s="1" t="s">
        <v>58</v>
      </c>
      <c r="B58" s="1">
        <v>238.10623039999999</v>
      </c>
      <c r="C58" s="1">
        <v>30322.519999999997</v>
      </c>
      <c r="D58" s="2">
        <v>914.4</v>
      </c>
      <c r="E58" s="2">
        <v>304.79999999999995</v>
      </c>
      <c r="F58" s="2">
        <v>16.509999999999998</v>
      </c>
      <c r="G58" s="2">
        <v>25.907999999999998</v>
      </c>
      <c r="H58" s="2">
        <v>44.957999999999998</v>
      </c>
      <c r="I58" s="2">
        <v>39.6875</v>
      </c>
      <c r="J58" s="2">
        <v>4062418713.8559995</v>
      </c>
      <c r="K58" s="2">
        <v>10225527.935999999</v>
      </c>
      <c r="L58" s="2">
        <v>8881788.6879999992</v>
      </c>
      <c r="M58" s="2">
        <v>365.76</v>
      </c>
      <c r="N58" s="2">
        <v>122788270.55199999</v>
      </c>
      <c r="O58" s="1">
        <v>1266720.0471999999</v>
      </c>
      <c r="P58" s="2">
        <v>804604.84239999996</v>
      </c>
      <c r="Q58" s="2">
        <v>63.5</v>
      </c>
      <c r="R58" s="1">
        <v>5161269.6774399998</v>
      </c>
      <c r="S58" s="1">
        <v>24221935161916.656</v>
      </c>
      <c r="T58" s="1">
        <v>67741.8</v>
      </c>
      <c r="U58" s="2">
        <v>133610287.61759999</v>
      </c>
      <c r="V58" s="2">
        <v>1655093.4639999999</v>
      </c>
      <c r="W58" s="1">
        <v>308</v>
      </c>
      <c r="X58" s="2">
        <v>5047215.7119999994</v>
      </c>
      <c r="Y58" s="2">
        <v>78.48599999999999</v>
      </c>
      <c r="Z58" s="2">
        <v>889</v>
      </c>
      <c r="AA58" s="2">
        <v>2667</v>
      </c>
      <c r="AB58" s="2">
        <v>2971.7999999999997</v>
      </c>
      <c r="AC58" s="2">
        <v>2133.6</v>
      </c>
      <c r="AD58" s="2">
        <v>2438.3999999999996</v>
      </c>
      <c r="AE58" s="2">
        <v>800.09999999999991</v>
      </c>
      <c r="AF58" s="2">
        <v>139.69999999999999</v>
      </c>
      <c r="AG58" s="2"/>
    </row>
    <row r="59" spans="1:33" x14ac:dyDescent="0.25">
      <c r="A59" s="1" t="s">
        <v>59</v>
      </c>
      <c r="B59" s="1">
        <v>223.224591</v>
      </c>
      <c r="C59" s="1">
        <v>28580.587999999996</v>
      </c>
      <c r="D59" s="2">
        <v>911.8599999999999</v>
      </c>
      <c r="E59" s="2">
        <v>304.79999999999995</v>
      </c>
      <c r="F59" s="2">
        <v>15.875</v>
      </c>
      <c r="G59" s="2">
        <v>23.875999999999998</v>
      </c>
      <c r="H59" s="2">
        <v>42.925999999999995</v>
      </c>
      <c r="I59" s="2">
        <v>38.099999999999994</v>
      </c>
      <c r="J59" s="2">
        <v>3762732087.4239998</v>
      </c>
      <c r="K59" s="2">
        <v>9520884.1839999985</v>
      </c>
      <c r="L59" s="2">
        <v>8259080.2559999991</v>
      </c>
      <c r="M59" s="2">
        <v>363.21999999999997</v>
      </c>
      <c r="N59" s="2">
        <v>112382484.91199999</v>
      </c>
      <c r="O59" s="1">
        <v>1161842.8376</v>
      </c>
      <c r="P59" s="2">
        <v>739056.58639999991</v>
      </c>
      <c r="Q59" s="2">
        <v>62.738</v>
      </c>
      <c r="R59" s="1">
        <v>4203937.3985599997</v>
      </c>
      <c r="S59" s="1">
        <v>22073648229595.891</v>
      </c>
      <c r="T59" s="1">
        <v>67741.8</v>
      </c>
      <c r="U59" s="2">
        <v>122372039.12639999</v>
      </c>
      <c r="V59" s="2">
        <v>1525635.6583999998</v>
      </c>
      <c r="W59" s="1">
        <v>287</v>
      </c>
      <c r="X59" s="2">
        <v>4703087.3679999998</v>
      </c>
      <c r="Y59" s="2">
        <v>77.724000000000004</v>
      </c>
      <c r="Z59" s="2">
        <v>889</v>
      </c>
      <c r="AA59" s="2">
        <v>2667</v>
      </c>
      <c r="AB59" s="2">
        <v>2971.7999999999997</v>
      </c>
      <c r="AC59" s="2">
        <v>2128.52</v>
      </c>
      <c r="AD59" s="2">
        <v>2433.3199999999997</v>
      </c>
      <c r="AE59" s="2">
        <v>800.09999999999991</v>
      </c>
      <c r="AF59" s="2">
        <v>139.69999999999999</v>
      </c>
      <c r="AG59" s="2"/>
    </row>
    <row r="60" spans="1:33" x14ac:dyDescent="0.25">
      <c r="A60" s="1" t="s">
        <v>60</v>
      </c>
      <c r="B60" s="1">
        <v>200.9021319</v>
      </c>
      <c r="C60" s="1">
        <v>25741.883999999998</v>
      </c>
      <c r="D60" s="2">
        <v>904.24</v>
      </c>
      <c r="E60" s="2">
        <v>304.79999999999995</v>
      </c>
      <c r="F60" s="2">
        <v>15.239999999999998</v>
      </c>
      <c r="G60" s="2">
        <v>20.065999999999999</v>
      </c>
      <c r="H60" s="2">
        <v>39.116</v>
      </c>
      <c r="I60" s="2">
        <v>38.099999999999994</v>
      </c>
      <c r="J60" s="2">
        <v>3246605119.6799998</v>
      </c>
      <c r="K60" s="2">
        <v>8341015.5759999994</v>
      </c>
      <c r="L60" s="2">
        <v>7193921.095999999</v>
      </c>
      <c r="M60" s="2">
        <v>355.59999999999997</v>
      </c>
      <c r="N60" s="2">
        <v>93652070.75999999</v>
      </c>
      <c r="O60" s="1">
        <v>978307.72080000001</v>
      </c>
      <c r="P60" s="2">
        <v>617792.31279999996</v>
      </c>
      <c r="Q60" s="2">
        <v>60.451999999999991</v>
      </c>
      <c r="R60" s="1">
        <v>2913619.9791999999</v>
      </c>
      <c r="S60" s="1">
        <v>18287292511380.535</v>
      </c>
      <c r="T60" s="1">
        <v>67096.639999999999</v>
      </c>
      <c r="U60" s="2">
        <v>101976699.27199998</v>
      </c>
      <c r="V60" s="2">
        <v>1276552.2856000001</v>
      </c>
      <c r="W60" s="1">
        <v>251</v>
      </c>
      <c r="X60" s="2">
        <v>4113153.0639999998</v>
      </c>
      <c r="Y60" s="2">
        <v>75.945999999999998</v>
      </c>
      <c r="Z60" s="2">
        <v>883.91999999999985</v>
      </c>
      <c r="AA60" s="2">
        <v>2667</v>
      </c>
      <c r="AB60" s="2">
        <v>2971.7999999999997</v>
      </c>
      <c r="AC60" s="2">
        <v>2113.2799999999997</v>
      </c>
      <c r="AD60" s="2">
        <v>2418.08</v>
      </c>
      <c r="AE60" s="2">
        <v>800.09999999999991</v>
      </c>
      <c r="AF60" s="2">
        <v>139.69999999999999</v>
      </c>
      <c r="AG60" s="2"/>
    </row>
    <row r="61" spans="1:33" x14ac:dyDescent="0.25">
      <c r="A61" s="1" t="s">
        <v>61</v>
      </c>
      <c r="B61" s="1">
        <v>575.91944477999994</v>
      </c>
      <c r="C61" s="1">
        <v>73548.239999999991</v>
      </c>
      <c r="D61" s="2">
        <v>914.4</v>
      </c>
      <c r="E61" s="2">
        <v>411.47999999999996</v>
      </c>
      <c r="F61" s="2">
        <v>32.003999999999998</v>
      </c>
      <c r="G61" s="2">
        <v>57.911999999999992</v>
      </c>
      <c r="H61" s="2">
        <v>77.977999999999994</v>
      </c>
      <c r="I61" s="2">
        <v>46.037499999999994</v>
      </c>
      <c r="J61" s="2">
        <v>10114423642.08</v>
      </c>
      <c r="K61" s="2">
        <v>25563819.839999996</v>
      </c>
      <c r="L61" s="2">
        <v>22122536.399999999</v>
      </c>
      <c r="M61" s="2">
        <v>370.84</v>
      </c>
      <c r="N61" s="2">
        <v>674294909.47199988</v>
      </c>
      <c r="O61" s="1">
        <v>5112763.9679999994</v>
      </c>
      <c r="P61" s="2">
        <v>3277412.8</v>
      </c>
      <c r="Q61" s="2">
        <v>95.757999999999996</v>
      </c>
      <c r="R61" s="1">
        <v>61602250.988799997</v>
      </c>
      <c r="S61" s="1">
        <v>123257962741904.06</v>
      </c>
      <c r="T61" s="1">
        <v>88386.92</v>
      </c>
      <c r="U61" s="2">
        <v>524451596.25599992</v>
      </c>
      <c r="V61" s="2">
        <v>4703087.3679999998</v>
      </c>
      <c r="W61" s="1">
        <v>778</v>
      </c>
      <c r="X61" s="2">
        <v>12749135.791999999</v>
      </c>
      <c r="Y61" s="2">
        <v>114.04599999999999</v>
      </c>
      <c r="Z61" s="2">
        <v>855.98</v>
      </c>
      <c r="AA61" s="2">
        <v>2971.7999999999997</v>
      </c>
      <c r="AB61" s="2">
        <v>3378.2</v>
      </c>
      <c r="AC61" s="2">
        <v>2240.2799999999997</v>
      </c>
      <c r="AD61" s="2">
        <v>2641.6</v>
      </c>
      <c r="AE61" s="2">
        <v>733.42499999999995</v>
      </c>
      <c r="AF61" s="2">
        <v>139.69999999999999</v>
      </c>
      <c r="AG61" s="2">
        <v>76.199999999999989</v>
      </c>
    </row>
    <row r="62" spans="1:33" x14ac:dyDescent="0.25">
      <c r="A62" s="1" t="s">
        <v>62</v>
      </c>
      <c r="B62" s="1">
        <v>526.81003476000001</v>
      </c>
      <c r="C62" s="1">
        <v>67096.639999999999</v>
      </c>
      <c r="D62" s="2">
        <v>904.24</v>
      </c>
      <c r="E62" s="2">
        <v>408.94</v>
      </c>
      <c r="F62" s="2">
        <v>29.463999999999995</v>
      </c>
      <c r="G62" s="2">
        <v>53.085999999999991</v>
      </c>
      <c r="H62" s="2">
        <v>73.151999999999987</v>
      </c>
      <c r="I62" s="2">
        <v>46.037499999999994</v>
      </c>
      <c r="J62" s="2">
        <v>9157091363.1999989</v>
      </c>
      <c r="K62" s="2">
        <v>23269630.879999999</v>
      </c>
      <c r="L62" s="2">
        <v>20319959.359999999</v>
      </c>
      <c r="M62" s="2">
        <v>368.29999999999995</v>
      </c>
      <c r="N62" s="2">
        <v>607697881.37599993</v>
      </c>
      <c r="O62" s="1">
        <v>4621152.0479999995</v>
      </c>
      <c r="P62" s="2">
        <v>2966058.5839999998</v>
      </c>
      <c r="Q62" s="2">
        <v>94.995999999999995</v>
      </c>
      <c r="R62" s="1">
        <v>47866613.943999998</v>
      </c>
      <c r="S62" s="1">
        <v>109562633548359.16</v>
      </c>
      <c r="T62" s="1">
        <v>87096.599999999991</v>
      </c>
      <c r="U62" s="2">
        <v>470341510.92799997</v>
      </c>
      <c r="V62" s="2">
        <v>4293410.7679999992</v>
      </c>
      <c r="W62" s="1">
        <v>707</v>
      </c>
      <c r="X62" s="2">
        <v>11585654.248</v>
      </c>
      <c r="Y62" s="2">
        <v>112.77600000000001</v>
      </c>
      <c r="Z62" s="2">
        <v>850.9</v>
      </c>
      <c r="AA62" s="2">
        <v>2946.3999999999996</v>
      </c>
      <c r="AB62" s="2">
        <v>3352.7999999999997</v>
      </c>
      <c r="AC62" s="2">
        <v>2217.4199999999996</v>
      </c>
      <c r="AD62" s="2">
        <v>2616.1999999999998</v>
      </c>
      <c r="AE62" s="2">
        <v>733.42499999999995</v>
      </c>
      <c r="AF62" s="2">
        <v>139.69999999999999</v>
      </c>
      <c r="AG62" s="2">
        <v>76.199999999999989</v>
      </c>
    </row>
    <row r="63" spans="1:33" x14ac:dyDescent="0.25">
      <c r="A63" s="1" t="s">
        <v>63</v>
      </c>
      <c r="B63" s="1">
        <v>473.23613291999999</v>
      </c>
      <c r="C63" s="1">
        <v>60451.491999999998</v>
      </c>
      <c r="D63" s="2">
        <v>894.08</v>
      </c>
      <c r="E63" s="2">
        <v>406.4</v>
      </c>
      <c r="F63" s="2">
        <v>26.416</v>
      </c>
      <c r="G63" s="2">
        <v>48.005999999999993</v>
      </c>
      <c r="H63" s="2">
        <v>68.072000000000003</v>
      </c>
      <c r="I63" s="2">
        <v>44.449999999999996</v>
      </c>
      <c r="J63" s="2">
        <v>8116512799.1999989</v>
      </c>
      <c r="K63" s="2">
        <v>20811571.279999997</v>
      </c>
      <c r="L63" s="2">
        <v>18189641.039999999</v>
      </c>
      <c r="M63" s="2">
        <v>368.29999999999995</v>
      </c>
      <c r="N63" s="2">
        <v>536938539.02399993</v>
      </c>
      <c r="O63" s="1">
        <v>4096765.9999999995</v>
      </c>
      <c r="P63" s="2">
        <v>2638317.3039999995</v>
      </c>
      <c r="Q63" s="2">
        <v>94.233999999999995</v>
      </c>
      <c r="R63" s="1">
        <v>35129932.320639998</v>
      </c>
      <c r="S63" s="1">
        <v>95867304354814.266</v>
      </c>
      <c r="T63" s="1">
        <v>85806.28</v>
      </c>
      <c r="U63" s="2">
        <v>420393739.85599995</v>
      </c>
      <c r="V63" s="2">
        <v>3850960.0399999996</v>
      </c>
      <c r="W63" s="1">
        <v>632</v>
      </c>
      <c r="X63" s="2">
        <v>10356624.447999999</v>
      </c>
      <c r="Y63" s="2">
        <v>111.76</v>
      </c>
      <c r="Z63" s="2">
        <v>845.81999999999994</v>
      </c>
      <c r="AA63" s="2">
        <v>2921</v>
      </c>
      <c r="AB63" s="2">
        <v>3327.3999999999996</v>
      </c>
      <c r="AC63" s="2">
        <v>2194.56</v>
      </c>
      <c r="AD63" s="2">
        <v>2590.7999999999997</v>
      </c>
      <c r="AE63" s="2">
        <v>733.42499999999995</v>
      </c>
      <c r="AF63" s="2">
        <v>139.69999999999999</v>
      </c>
      <c r="AG63" s="2">
        <v>76.199999999999989</v>
      </c>
    </row>
    <row r="64" spans="1:33" x14ac:dyDescent="0.25">
      <c r="A64" s="1" t="s">
        <v>64</v>
      </c>
      <c r="B64" s="1">
        <v>433.05570654000002</v>
      </c>
      <c r="C64" s="1">
        <v>55225.695999999996</v>
      </c>
      <c r="D64" s="2">
        <v>883.91999999999985</v>
      </c>
      <c r="E64" s="2">
        <v>403.86</v>
      </c>
      <c r="F64" s="2">
        <v>24.383999999999997</v>
      </c>
      <c r="G64" s="2">
        <v>43.942</v>
      </c>
      <c r="H64" s="2">
        <v>64.007999999999996</v>
      </c>
      <c r="I64" s="2">
        <v>42.862499999999997</v>
      </c>
      <c r="J64" s="2">
        <v>7367296233.1199989</v>
      </c>
      <c r="K64" s="2">
        <v>19008994.239999998</v>
      </c>
      <c r="L64" s="2">
        <v>16714805.279999999</v>
      </c>
      <c r="M64" s="2">
        <v>365.76</v>
      </c>
      <c r="N64" s="2">
        <v>482828453.69599998</v>
      </c>
      <c r="O64" s="1">
        <v>3703476.4639999997</v>
      </c>
      <c r="P64" s="2">
        <v>2392511.3439999996</v>
      </c>
      <c r="Q64" s="2">
        <v>93.471999999999994</v>
      </c>
      <c r="R64" s="1">
        <v>27096665.806559995</v>
      </c>
      <c r="S64" s="1">
        <v>85662941426290.625</v>
      </c>
      <c r="T64" s="1">
        <v>84515.959999999992</v>
      </c>
      <c r="U64" s="2">
        <v>376273208.74239999</v>
      </c>
      <c r="V64" s="2">
        <v>3506831.6959999995</v>
      </c>
      <c r="W64" s="1">
        <v>573</v>
      </c>
      <c r="X64" s="2">
        <v>9389787.6719999984</v>
      </c>
      <c r="Y64" s="2">
        <v>110.23599999999999</v>
      </c>
      <c r="Z64" s="2">
        <v>840.74</v>
      </c>
      <c r="AA64" s="2">
        <v>2895.6</v>
      </c>
      <c r="AB64" s="2">
        <v>3302</v>
      </c>
      <c r="AC64" s="2">
        <v>2171.6999999999998</v>
      </c>
      <c r="AD64" s="2">
        <v>2565.3999999999996</v>
      </c>
      <c r="AE64" s="2">
        <v>733.42499999999995</v>
      </c>
      <c r="AF64" s="2">
        <v>139.69999999999999</v>
      </c>
      <c r="AG64" s="2">
        <v>76.199999999999989</v>
      </c>
    </row>
    <row r="65" spans="1:33" x14ac:dyDescent="0.25">
      <c r="A65" s="1" t="s">
        <v>65</v>
      </c>
      <c r="B65" s="1">
        <v>391.38711622</v>
      </c>
      <c r="C65" s="1">
        <v>49935.383999999998</v>
      </c>
      <c r="D65" s="2">
        <v>876.3</v>
      </c>
      <c r="E65" s="2">
        <v>401.32</v>
      </c>
      <c r="F65" s="2">
        <v>22.097999999999999</v>
      </c>
      <c r="G65" s="2">
        <v>39.878</v>
      </c>
      <c r="H65" s="2">
        <v>59.943999999999996</v>
      </c>
      <c r="I65" s="2">
        <v>41.274999999999999</v>
      </c>
      <c r="J65" s="2">
        <v>6618079667.039999</v>
      </c>
      <c r="K65" s="2">
        <v>17042546.559999999</v>
      </c>
      <c r="L65" s="2">
        <v>15059711.815999998</v>
      </c>
      <c r="M65" s="2">
        <v>363.21999999999997</v>
      </c>
      <c r="N65" s="2">
        <v>432880682.62399995</v>
      </c>
      <c r="O65" s="1">
        <v>3310186.9279999998</v>
      </c>
      <c r="P65" s="2">
        <v>2146705.3839999996</v>
      </c>
      <c r="Q65" s="2">
        <v>92.963999999999999</v>
      </c>
      <c r="R65" s="1">
        <v>20270470.426720001</v>
      </c>
      <c r="S65" s="1">
        <v>75458578497766.969</v>
      </c>
      <c r="T65" s="1">
        <v>83870.8</v>
      </c>
      <c r="U65" s="2">
        <v>335898760.45919997</v>
      </c>
      <c r="V65" s="2">
        <v>3162703.3519999995</v>
      </c>
      <c r="W65" s="1">
        <v>515</v>
      </c>
      <c r="X65" s="2">
        <v>8439337.959999999</v>
      </c>
      <c r="Y65" s="2">
        <v>109.47399999999999</v>
      </c>
      <c r="Z65" s="2">
        <v>835.66</v>
      </c>
      <c r="AA65" s="2">
        <v>2870.2</v>
      </c>
      <c r="AB65" s="2">
        <v>3276.6</v>
      </c>
      <c r="AC65" s="2">
        <v>2153.9199999999996</v>
      </c>
      <c r="AD65" s="2">
        <v>2565.3999999999996</v>
      </c>
      <c r="AE65" s="2">
        <v>733.42499999999995</v>
      </c>
      <c r="AF65" s="2">
        <v>139.69999999999999</v>
      </c>
      <c r="AG65" s="2">
        <v>76.199999999999989</v>
      </c>
    </row>
    <row r="66" spans="1:33" x14ac:dyDescent="0.25">
      <c r="A66" s="1" t="s">
        <v>66</v>
      </c>
      <c r="B66" s="1">
        <v>358.64750953999999</v>
      </c>
      <c r="C66" s="1">
        <v>45870.875999999997</v>
      </c>
      <c r="D66" s="2">
        <v>868.68000000000006</v>
      </c>
      <c r="E66" s="2">
        <v>403.86</v>
      </c>
      <c r="F66" s="2">
        <v>21.081999999999997</v>
      </c>
      <c r="G66" s="2">
        <v>35.559999999999995</v>
      </c>
      <c r="H66" s="2">
        <v>55.625999999999998</v>
      </c>
      <c r="I66" s="2">
        <v>41.274999999999999</v>
      </c>
      <c r="J66" s="2">
        <v>5910486243.5199995</v>
      </c>
      <c r="K66" s="2">
        <v>15403840.159999998</v>
      </c>
      <c r="L66" s="2">
        <v>13617650.183999998</v>
      </c>
      <c r="M66" s="2">
        <v>358.14</v>
      </c>
      <c r="N66" s="2">
        <v>388343920.08479995</v>
      </c>
      <c r="O66" s="1">
        <v>2982445.6479999996</v>
      </c>
      <c r="P66" s="2">
        <v>1933673.5519999999</v>
      </c>
      <c r="Q66" s="2">
        <v>91.947999999999993</v>
      </c>
      <c r="R66" s="1">
        <v>15067577.606720001</v>
      </c>
      <c r="S66" s="1">
        <v>67402502501564.094</v>
      </c>
      <c r="T66" s="1">
        <v>83870.8</v>
      </c>
      <c r="U66" s="2">
        <v>302184014.98559999</v>
      </c>
      <c r="V66" s="2">
        <v>2834962.0719999997</v>
      </c>
      <c r="W66" s="1">
        <v>467</v>
      </c>
      <c r="X66" s="2">
        <v>7652758.8879999993</v>
      </c>
      <c r="Y66" s="2">
        <v>108.96599999999999</v>
      </c>
      <c r="Z66" s="2">
        <v>833.11999999999989</v>
      </c>
      <c r="AA66" s="2">
        <v>2870.2</v>
      </c>
      <c r="AB66" s="2">
        <v>3276.6</v>
      </c>
      <c r="AC66" s="2">
        <v>2141.2199999999998</v>
      </c>
      <c r="AD66" s="2">
        <v>2540</v>
      </c>
      <c r="AE66" s="2">
        <v>733.42499999999995</v>
      </c>
      <c r="AF66" s="2">
        <v>139.69999999999999</v>
      </c>
      <c r="AG66" s="2">
        <v>76.199999999999989</v>
      </c>
    </row>
    <row r="67" spans="1:33" x14ac:dyDescent="0.25">
      <c r="A67" s="1" t="s">
        <v>67</v>
      </c>
      <c r="B67" s="1">
        <v>328.88423073999996</v>
      </c>
      <c r="C67" s="1">
        <v>42128.947999999997</v>
      </c>
      <c r="D67" s="2">
        <v>861.06</v>
      </c>
      <c r="E67" s="2">
        <v>401.32</v>
      </c>
      <c r="F67" s="2">
        <v>19.684999999999999</v>
      </c>
      <c r="G67" s="2">
        <v>32.512</v>
      </c>
      <c r="H67" s="2">
        <v>52.323999999999998</v>
      </c>
      <c r="I67" s="2">
        <v>41.274999999999999</v>
      </c>
      <c r="J67" s="2">
        <v>5369385390.2399998</v>
      </c>
      <c r="K67" s="2">
        <v>14043713.847999999</v>
      </c>
      <c r="L67" s="2">
        <v>12437781.575999999</v>
      </c>
      <c r="M67" s="2">
        <v>358.14</v>
      </c>
      <c r="N67" s="2">
        <v>349634397.50399995</v>
      </c>
      <c r="O67" s="1">
        <v>2687478.4959999998</v>
      </c>
      <c r="P67" s="2">
        <v>1737028.7839999998</v>
      </c>
      <c r="Q67" s="2">
        <v>91.185999999999993</v>
      </c>
      <c r="R67" s="1">
        <v>11571233.631679999</v>
      </c>
      <c r="S67" s="1">
        <v>60152034104981.5</v>
      </c>
      <c r="T67" s="1">
        <v>83225.64</v>
      </c>
      <c r="U67" s="2">
        <v>269301732.36319995</v>
      </c>
      <c r="V67" s="2">
        <v>2556381.9839999997</v>
      </c>
      <c r="W67" s="1">
        <v>423</v>
      </c>
      <c r="X67" s="2">
        <v>6931728.0719999997</v>
      </c>
      <c r="Y67" s="2">
        <v>107.94999999999999</v>
      </c>
      <c r="Z67" s="2">
        <v>828.04</v>
      </c>
      <c r="AA67" s="2">
        <v>2844.7999999999997</v>
      </c>
      <c r="AB67" s="2">
        <v>3251.2</v>
      </c>
      <c r="AC67" s="2">
        <v>2123.4399999999996</v>
      </c>
      <c r="AD67" s="2">
        <v>2524.7600000000002</v>
      </c>
      <c r="AE67" s="2">
        <v>733.42499999999995</v>
      </c>
      <c r="AF67" s="2">
        <v>139.69999999999999</v>
      </c>
      <c r="AG67" s="2">
        <v>76.199999999999989</v>
      </c>
    </row>
    <row r="68" spans="1:33" x14ac:dyDescent="0.25">
      <c r="A68" s="1" t="s">
        <v>68</v>
      </c>
      <c r="B68" s="1">
        <v>299.12095194</v>
      </c>
      <c r="C68" s="1">
        <v>38128.955999999998</v>
      </c>
      <c r="D68" s="2">
        <v>855.98</v>
      </c>
      <c r="E68" s="2">
        <v>398.78</v>
      </c>
      <c r="F68" s="2">
        <v>18.160999999999998</v>
      </c>
      <c r="G68" s="2">
        <v>29.209999999999997</v>
      </c>
      <c r="H68" s="2">
        <v>49.275999999999996</v>
      </c>
      <c r="I68" s="2">
        <v>39.6875</v>
      </c>
      <c r="J68" s="2">
        <v>4828284536.9599991</v>
      </c>
      <c r="K68" s="2">
        <v>12667200.471999999</v>
      </c>
      <c r="L68" s="2">
        <v>11241525.903999999</v>
      </c>
      <c r="M68" s="2">
        <v>355.59999999999997</v>
      </c>
      <c r="N68" s="2">
        <v>311757337.7744</v>
      </c>
      <c r="O68" s="1">
        <v>2408898.4079999998</v>
      </c>
      <c r="P68" s="2">
        <v>1560048.4927999999</v>
      </c>
      <c r="Q68" s="2">
        <v>90.423999999999992</v>
      </c>
      <c r="R68" s="1">
        <v>8657613.6524799988</v>
      </c>
      <c r="S68" s="1">
        <v>53170101574939.008</v>
      </c>
      <c r="T68" s="1">
        <v>82580.479999999996</v>
      </c>
      <c r="U68" s="2">
        <v>240165532.57119998</v>
      </c>
      <c r="V68" s="2">
        <v>2294188.96</v>
      </c>
      <c r="W68" s="1">
        <v>382</v>
      </c>
      <c r="X68" s="2">
        <v>6259858.4479999999</v>
      </c>
      <c r="Y68" s="2">
        <v>106.934</v>
      </c>
      <c r="Z68" s="2">
        <v>828.04</v>
      </c>
      <c r="AA68" s="2">
        <v>2819.3999999999996</v>
      </c>
      <c r="AB68" s="2">
        <v>3225.7999999999997</v>
      </c>
      <c r="AC68" s="2">
        <v>2110.7399999999998</v>
      </c>
      <c r="AD68" s="2">
        <v>2509.52</v>
      </c>
      <c r="AE68" s="2">
        <v>733.42499999999995</v>
      </c>
      <c r="AF68" s="2">
        <v>139.69999999999999</v>
      </c>
      <c r="AG68" s="2">
        <v>76.199999999999989</v>
      </c>
    </row>
    <row r="69" spans="1:33" x14ac:dyDescent="0.25">
      <c r="A69" s="1" t="s">
        <v>69</v>
      </c>
      <c r="B69" s="1">
        <v>251.49970586000001</v>
      </c>
      <c r="C69" s="1">
        <v>31935.42</v>
      </c>
      <c r="D69" s="2">
        <v>858.51999999999987</v>
      </c>
      <c r="E69" s="2">
        <v>292.09999999999997</v>
      </c>
      <c r="F69" s="2">
        <v>17.018000000000001</v>
      </c>
      <c r="G69" s="2">
        <v>30.987999999999996</v>
      </c>
      <c r="H69" s="2">
        <v>48.767999999999994</v>
      </c>
      <c r="I69" s="2">
        <v>39.6875</v>
      </c>
      <c r="J69" s="2">
        <v>3866789943.8239994</v>
      </c>
      <c r="K69" s="2">
        <v>10307463.255999999</v>
      </c>
      <c r="L69" s="2">
        <v>8996498.1359999999</v>
      </c>
      <c r="M69" s="2">
        <v>347.97999999999996</v>
      </c>
      <c r="N69" s="2">
        <v>129031741.93599999</v>
      </c>
      <c r="O69" s="1">
        <v>1383068.2016</v>
      </c>
      <c r="P69" s="2">
        <v>883262.74959999986</v>
      </c>
      <c r="Q69" s="2">
        <v>63.5</v>
      </c>
      <c r="R69" s="1">
        <v>7367296.2331199991</v>
      </c>
      <c r="S69" s="1">
        <v>22127355402903.91</v>
      </c>
      <c r="T69" s="1">
        <v>60451.491999999998</v>
      </c>
      <c r="U69" s="2">
        <v>136940139.02239999</v>
      </c>
      <c r="V69" s="2">
        <v>1769802.9119999998</v>
      </c>
      <c r="W69" s="1">
        <v>311</v>
      </c>
      <c r="X69" s="2">
        <v>5096376.9039999992</v>
      </c>
      <c r="Y69" s="2">
        <v>76.961999999999989</v>
      </c>
      <c r="Z69" s="2">
        <v>828.04</v>
      </c>
      <c r="AA69" s="2">
        <v>2527.2999999999997</v>
      </c>
      <c r="AB69" s="2">
        <v>2819.3999999999996</v>
      </c>
      <c r="AC69" s="2">
        <v>2009.1399999999996</v>
      </c>
      <c r="AD69" s="2">
        <v>2301.2399999999998</v>
      </c>
      <c r="AE69" s="2">
        <v>733.42499999999995</v>
      </c>
      <c r="AF69" s="2">
        <v>139.69999999999999</v>
      </c>
      <c r="AG69" s="2"/>
    </row>
    <row r="70" spans="1:33" x14ac:dyDescent="0.25">
      <c r="A70" s="1" t="s">
        <v>70</v>
      </c>
      <c r="B70" s="1">
        <v>226.20091887999999</v>
      </c>
      <c r="C70" s="1">
        <v>28967.683999999997</v>
      </c>
      <c r="D70" s="2">
        <v>850.9</v>
      </c>
      <c r="E70" s="2">
        <v>294.64</v>
      </c>
      <c r="F70" s="2">
        <v>16.128999999999998</v>
      </c>
      <c r="G70" s="2">
        <v>26.923999999999999</v>
      </c>
      <c r="H70" s="2">
        <v>44.704000000000001</v>
      </c>
      <c r="I70" s="2">
        <v>38.099999999999994</v>
      </c>
      <c r="J70" s="2">
        <v>3396448432.8959994</v>
      </c>
      <c r="K70" s="2">
        <v>9160368.7759999987</v>
      </c>
      <c r="L70" s="2">
        <v>7980500.1679999996</v>
      </c>
      <c r="M70" s="2">
        <v>342.9</v>
      </c>
      <c r="N70" s="2">
        <v>113631179.18879999</v>
      </c>
      <c r="O70" s="1">
        <v>1211004.0296</v>
      </c>
      <c r="P70" s="2">
        <v>773469.42079999996</v>
      </c>
      <c r="Q70" s="2">
        <v>62.738</v>
      </c>
      <c r="R70" s="1">
        <v>5161269.6774399998</v>
      </c>
      <c r="S70" s="1">
        <v>19254021630924.883</v>
      </c>
      <c r="T70" s="1">
        <v>60709.555999999997</v>
      </c>
      <c r="U70" s="2">
        <v>120290881.99839999</v>
      </c>
      <c r="V70" s="2">
        <v>1545300.1351999999</v>
      </c>
      <c r="W70" s="1">
        <v>278</v>
      </c>
      <c r="X70" s="2">
        <v>4555603.7919999994</v>
      </c>
      <c r="Y70" s="2">
        <v>76.453999999999994</v>
      </c>
      <c r="Z70" s="2">
        <v>822.95999999999992</v>
      </c>
      <c r="AA70" s="2">
        <v>2524.7600000000002</v>
      </c>
      <c r="AB70" s="2">
        <v>2819.3999999999996</v>
      </c>
      <c r="AC70" s="2">
        <v>1996.4399999999998</v>
      </c>
      <c r="AD70" s="2">
        <v>2291.08</v>
      </c>
      <c r="AE70" s="2">
        <v>733.42499999999995</v>
      </c>
      <c r="AF70" s="2">
        <v>139.69999999999999</v>
      </c>
      <c r="AG70" s="2"/>
    </row>
    <row r="71" spans="1:33" x14ac:dyDescent="0.25">
      <c r="A71" s="1" t="s">
        <v>71</v>
      </c>
      <c r="B71" s="1">
        <v>209.83111553999998</v>
      </c>
      <c r="C71" s="1">
        <v>26774.14</v>
      </c>
      <c r="D71" s="2">
        <v>845.81999999999994</v>
      </c>
      <c r="E71" s="2">
        <v>292.09999999999997</v>
      </c>
      <c r="F71" s="2">
        <v>15.366999999999999</v>
      </c>
      <c r="G71" s="2">
        <v>24.383999999999997</v>
      </c>
      <c r="H71" s="2">
        <v>42.163999999999994</v>
      </c>
      <c r="I71" s="2">
        <v>38.099999999999994</v>
      </c>
      <c r="J71" s="2">
        <v>3100924120.7199998</v>
      </c>
      <c r="K71" s="2">
        <v>8422950.8959999997</v>
      </c>
      <c r="L71" s="2">
        <v>7341404.6719999993</v>
      </c>
      <c r="M71" s="2">
        <v>340.36</v>
      </c>
      <c r="N71" s="2">
        <v>102392930.69759999</v>
      </c>
      <c r="O71" s="1">
        <v>1096294.5815999999</v>
      </c>
      <c r="P71" s="2">
        <v>699727.63280000002</v>
      </c>
      <c r="Q71" s="2">
        <v>61.722000000000001</v>
      </c>
      <c r="R71" s="1">
        <v>4037444.8283199994</v>
      </c>
      <c r="S71" s="1">
        <v>17293709805182.182</v>
      </c>
      <c r="T71" s="1">
        <v>59999.88</v>
      </c>
      <c r="U71" s="2">
        <v>106971476.3792</v>
      </c>
      <c r="V71" s="2">
        <v>1386345.6143999998</v>
      </c>
      <c r="W71" s="1">
        <v>253</v>
      </c>
      <c r="X71" s="2">
        <v>4145927.1919999998</v>
      </c>
      <c r="Y71" s="2">
        <v>75.691999999999993</v>
      </c>
      <c r="Z71" s="2">
        <v>820.41999999999985</v>
      </c>
      <c r="AA71" s="2">
        <v>2501.8999999999996</v>
      </c>
      <c r="AB71" s="2">
        <v>2794</v>
      </c>
      <c r="AC71" s="2">
        <v>1983.7399999999998</v>
      </c>
      <c r="AD71" s="2">
        <v>2275.8399999999997</v>
      </c>
      <c r="AE71" s="2">
        <v>733.42499999999995</v>
      </c>
      <c r="AF71" s="2">
        <v>139.69999999999999</v>
      </c>
      <c r="AG71" s="2"/>
    </row>
    <row r="72" spans="1:33" x14ac:dyDescent="0.25">
      <c r="A72" s="1" t="s">
        <v>72</v>
      </c>
      <c r="B72" s="1">
        <v>193.46131220000001</v>
      </c>
      <c r="C72" s="1">
        <v>24709.627999999997</v>
      </c>
      <c r="D72" s="2">
        <v>840.74</v>
      </c>
      <c r="E72" s="2">
        <v>292.09999999999997</v>
      </c>
      <c r="F72" s="2">
        <v>14.731999999999998</v>
      </c>
      <c r="G72" s="2">
        <v>21.716999999999999</v>
      </c>
      <c r="H72" s="2">
        <v>39.624000000000002</v>
      </c>
      <c r="I72" s="2">
        <v>38.099999999999994</v>
      </c>
      <c r="J72" s="2">
        <v>2792912865.7759995</v>
      </c>
      <c r="K72" s="2">
        <v>7652758.8879999993</v>
      </c>
      <c r="L72" s="2">
        <v>6653147.9839999992</v>
      </c>
      <c r="M72" s="2">
        <v>335.28</v>
      </c>
      <c r="N72" s="2">
        <v>90738450.780799985</v>
      </c>
      <c r="O72" s="1">
        <v>975030.30799999996</v>
      </c>
      <c r="P72" s="2">
        <v>621069.72559999989</v>
      </c>
      <c r="Q72" s="2">
        <v>60.706000000000003</v>
      </c>
      <c r="R72" s="1">
        <v>3067625.6066719997</v>
      </c>
      <c r="S72" s="1">
        <v>15199130046169.434</v>
      </c>
      <c r="T72" s="1">
        <v>59806.332000000002</v>
      </c>
      <c r="U72" s="2">
        <v>94900765.036799997</v>
      </c>
      <c r="V72" s="2">
        <v>1233945.9191999999</v>
      </c>
      <c r="W72" s="1">
        <v>230</v>
      </c>
      <c r="X72" s="2">
        <v>3769024.7199999997</v>
      </c>
      <c r="Y72" s="2">
        <v>74.675999999999988</v>
      </c>
      <c r="Z72" s="2">
        <v>817.88</v>
      </c>
      <c r="AA72" s="2">
        <v>2501.8999999999996</v>
      </c>
      <c r="AB72" s="2">
        <v>2794</v>
      </c>
      <c r="AC72" s="2">
        <v>1973.58</v>
      </c>
      <c r="AD72" s="2">
        <v>2265.6799999999998</v>
      </c>
      <c r="AE72" s="2">
        <v>733.42499999999995</v>
      </c>
      <c r="AF72" s="2">
        <v>139.69999999999999</v>
      </c>
      <c r="AG72" s="2"/>
    </row>
    <row r="73" spans="1:33" x14ac:dyDescent="0.25">
      <c r="A73" s="1" t="s">
        <v>73</v>
      </c>
      <c r="B73" s="1">
        <v>175.60334491999998</v>
      </c>
      <c r="C73" s="1">
        <v>22387.052</v>
      </c>
      <c r="D73" s="2">
        <v>835.66</v>
      </c>
      <c r="E73" s="2">
        <v>292.09999999999997</v>
      </c>
      <c r="F73" s="2">
        <v>13.97</v>
      </c>
      <c r="G73" s="2">
        <v>18.795999999999999</v>
      </c>
      <c r="H73" s="2">
        <v>36.575999999999993</v>
      </c>
      <c r="I73" s="2">
        <v>38.099999999999994</v>
      </c>
      <c r="J73" s="2">
        <v>2455765411.04</v>
      </c>
      <c r="K73" s="2">
        <v>6800631.5599999996</v>
      </c>
      <c r="L73" s="2">
        <v>5882955.9759999998</v>
      </c>
      <c r="M73" s="2">
        <v>330.2</v>
      </c>
      <c r="N73" s="2">
        <v>77835276.587199986</v>
      </c>
      <c r="O73" s="1">
        <v>840656.38319999992</v>
      </c>
      <c r="P73" s="2">
        <v>534218.28639999998</v>
      </c>
      <c r="Q73" s="2">
        <v>58.92799999999999</v>
      </c>
      <c r="R73" s="1">
        <v>2206026.5556799998</v>
      </c>
      <c r="S73" s="1">
        <v>12970282353886.637</v>
      </c>
      <c r="T73" s="1">
        <v>59677.299999999996</v>
      </c>
      <c r="U73" s="2">
        <v>81997590.843199998</v>
      </c>
      <c r="V73" s="2">
        <v>1066797.8663999997</v>
      </c>
      <c r="W73" s="1">
        <v>205</v>
      </c>
      <c r="X73" s="2">
        <v>3359348.1199999996</v>
      </c>
      <c r="Y73" s="2">
        <v>73.406000000000006</v>
      </c>
      <c r="Z73" s="2">
        <v>817.88</v>
      </c>
      <c r="AA73" s="2">
        <v>2476.5</v>
      </c>
      <c r="AB73" s="2">
        <v>2768.6</v>
      </c>
      <c r="AC73" s="2">
        <v>1963.4199999999998</v>
      </c>
      <c r="AD73" s="2">
        <v>2255.52</v>
      </c>
      <c r="AE73" s="2">
        <v>733.42499999999995</v>
      </c>
      <c r="AF73" s="2">
        <v>139.69999999999999</v>
      </c>
      <c r="AG73" s="2"/>
    </row>
    <row r="74" spans="1:33" x14ac:dyDescent="0.25">
      <c r="A74" s="1" t="s">
        <v>74</v>
      </c>
      <c r="B74" s="1">
        <v>581.87210054000002</v>
      </c>
      <c r="C74" s="1">
        <v>74193.399999999994</v>
      </c>
      <c r="D74" s="2">
        <v>843.28</v>
      </c>
      <c r="E74" s="2">
        <v>396.23999999999995</v>
      </c>
      <c r="F74" s="2">
        <v>34.544000000000004</v>
      </c>
      <c r="G74" s="2">
        <v>61.975999999999992</v>
      </c>
      <c r="H74" s="2">
        <v>82.042000000000002</v>
      </c>
      <c r="I74" s="2">
        <v>47.625</v>
      </c>
      <c r="J74" s="2">
        <v>8615990509.9200001</v>
      </c>
      <c r="K74" s="2">
        <v>23761242.799999997</v>
      </c>
      <c r="L74" s="2">
        <v>20483829.999999996</v>
      </c>
      <c r="M74" s="2">
        <v>340.36</v>
      </c>
      <c r="N74" s="2">
        <v>645158709.67999995</v>
      </c>
      <c r="O74" s="1">
        <v>5079989.84</v>
      </c>
      <c r="P74" s="2">
        <v>3244638.6719999998</v>
      </c>
      <c r="Q74" s="2">
        <v>93.217999999999989</v>
      </c>
      <c r="R74" s="1">
        <v>72008036.62879999</v>
      </c>
      <c r="S74" s="1">
        <v>98284127153675.125</v>
      </c>
      <c r="T74" s="1">
        <v>77419.199999999997</v>
      </c>
      <c r="U74" s="2">
        <v>474503825.18399996</v>
      </c>
      <c r="V74" s="2">
        <v>4375346.0879999995</v>
      </c>
      <c r="W74" s="1">
        <v>722</v>
      </c>
      <c r="X74" s="2">
        <v>11831460.207999999</v>
      </c>
      <c r="Y74" s="2">
        <v>110.99799999999999</v>
      </c>
      <c r="Z74" s="2">
        <v>782.31999999999994</v>
      </c>
      <c r="AA74" s="2">
        <v>2768.6</v>
      </c>
      <c r="AB74" s="2">
        <v>3175</v>
      </c>
      <c r="AC74" s="2">
        <v>2082.7999999999997</v>
      </c>
      <c r="AD74" s="2">
        <v>2479.0399999999995</v>
      </c>
      <c r="AE74" s="2">
        <v>654.04999999999995</v>
      </c>
      <c r="AF74" s="2">
        <v>139.69999999999999</v>
      </c>
      <c r="AG74" s="2">
        <v>76.199999999999989</v>
      </c>
    </row>
    <row r="75" spans="1:33" x14ac:dyDescent="0.25">
      <c r="A75" s="1" t="s">
        <v>75</v>
      </c>
      <c r="B75" s="1">
        <v>531.27452658000004</v>
      </c>
      <c r="C75" s="1">
        <v>67741.8</v>
      </c>
      <c r="D75" s="2">
        <v>833.11999999999989</v>
      </c>
      <c r="E75" s="2">
        <v>393.7</v>
      </c>
      <c r="F75" s="2">
        <v>31.495999999999999</v>
      </c>
      <c r="G75" s="2">
        <v>56.896000000000001</v>
      </c>
      <c r="H75" s="2">
        <v>76.961999999999989</v>
      </c>
      <c r="I75" s="2">
        <v>46.037499999999994</v>
      </c>
      <c r="J75" s="2">
        <v>7783527658.7199993</v>
      </c>
      <c r="K75" s="2">
        <v>21630924.479999997</v>
      </c>
      <c r="L75" s="2">
        <v>18681252.959999997</v>
      </c>
      <c r="M75" s="2">
        <v>337.82</v>
      </c>
      <c r="N75" s="2">
        <v>578561681.58399999</v>
      </c>
      <c r="O75" s="1">
        <v>4571990.8559999997</v>
      </c>
      <c r="P75" s="2">
        <v>2933284.4559999998</v>
      </c>
      <c r="Q75" s="2">
        <v>92.456000000000003</v>
      </c>
      <c r="R75" s="1">
        <v>55775011.030399993</v>
      </c>
      <c r="S75" s="1">
        <v>87005620758991.094</v>
      </c>
      <c r="T75" s="1">
        <v>76128.87999999999</v>
      </c>
      <c r="U75" s="2">
        <v>428718368.36799997</v>
      </c>
      <c r="V75" s="2">
        <v>3998443.6159999995</v>
      </c>
      <c r="W75" s="1">
        <v>655</v>
      </c>
      <c r="X75" s="2">
        <v>10733526.92</v>
      </c>
      <c r="Y75" s="2">
        <v>109.47399999999999</v>
      </c>
      <c r="Z75" s="2">
        <v>777.24</v>
      </c>
      <c r="AA75" s="2">
        <v>2743.2</v>
      </c>
      <c r="AB75" s="2">
        <v>3149.6</v>
      </c>
      <c r="AC75" s="2">
        <v>2059.9399999999996</v>
      </c>
      <c r="AD75" s="2">
        <v>2453.64</v>
      </c>
      <c r="AE75" s="2">
        <v>654.04999999999995</v>
      </c>
      <c r="AF75" s="2">
        <v>139.69999999999999</v>
      </c>
      <c r="AG75" s="2">
        <v>76.199999999999989</v>
      </c>
    </row>
    <row r="76" spans="1:33" x14ac:dyDescent="0.25">
      <c r="A76" s="1" t="s">
        <v>76</v>
      </c>
      <c r="B76" s="1">
        <v>485.14144443999999</v>
      </c>
      <c r="C76" s="1">
        <v>61870.843999999997</v>
      </c>
      <c r="D76" s="2">
        <v>822.95999999999992</v>
      </c>
      <c r="E76" s="2">
        <v>391.15999999999997</v>
      </c>
      <c r="F76" s="2">
        <v>28.955999999999996</v>
      </c>
      <c r="G76" s="2">
        <v>52.069999999999993</v>
      </c>
      <c r="H76" s="2">
        <v>72.135999999999996</v>
      </c>
      <c r="I76" s="2">
        <v>44.449999999999996</v>
      </c>
      <c r="J76" s="2">
        <v>6992687950.079999</v>
      </c>
      <c r="K76" s="2">
        <v>19500606.159999996</v>
      </c>
      <c r="L76" s="2">
        <v>17042546.559999999</v>
      </c>
      <c r="M76" s="2">
        <v>335.28</v>
      </c>
      <c r="N76" s="2">
        <v>516126967.74399996</v>
      </c>
      <c r="O76" s="1">
        <v>4129540.1279999996</v>
      </c>
      <c r="P76" s="2">
        <v>2654704.3679999998</v>
      </c>
      <c r="Q76" s="2">
        <v>91.44</v>
      </c>
      <c r="R76" s="1">
        <v>42871836.836799994</v>
      </c>
      <c r="S76" s="1">
        <v>77069793697007.547</v>
      </c>
      <c r="T76" s="1">
        <v>75483.72</v>
      </c>
      <c r="U76" s="2">
        <v>383765374.40319997</v>
      </c>
      <c r="V76" s="2">
        <v>3637928.2079999996</v>
      </c>
      <c r="W76" s="1">
        <v>593</v>
      </c>
      <c r="X76" s="2">
        <v>9717528.9519999996</v>
      </c>
      <c r="Y76" s="2">
        <v>108.20399999999999</v>
      </c>
      <c r="Z76" s="2">
        <v>772.16</v>
      </c>
      <c r="AA76" s="2">
        <v>2743.2</v>
      </c>
      <c r="AB76" s="2">
        <v>3124.2</v>
      </c>
      <c r="AC76" s="2">
        <v>2037.08</v>
      </c>
      <c r="AD76" s="2">
        <v>2428.2399999999998</v>
      </c>
      <c r="AE76" s="2">
        <v>654.04999999999995</v>
      </c>
      <c r="AF76" s="2">
        <v>139.69999999999999</v>
      </c>
      <c r="AG76" s="2">
        <v>76.199999999999989</v>
      </c>
    </row>
    <row r="77" spans="1:33" x14ac:dyDescent="0.25">
      <c r="A77" s="1" t="s">
        <v>77</v>
      </c>
      <c r="B77" s="1">
        <v>434.54387048000001</v>
      </c>
      <c r="C77" s="1">
        <v>55483.759999999995</v>
      </c>
      <c r="D77" s="2">
        <v>812.8</v>
      </c>
      <c r="E77" s="2">
        <v>388.62</v>
      </c>
      <c r="F77" s="2">
        <v>25.907999999999998</v>
      </c>
      <c r="G77" s="2">
        <v>46.99</v>
      </c>
      <c r="H77" s="2">
        <v>67.055999999999997</v>
      </c>
      <c r="I77" s="2">
        <v>44.449999999999996</v>
      </c>
      <c r="J77" s="2">
        <v>6201848241.4399996</v>
      </c>
      <c r="K77" s="2">
        <v>17370287.84</v>
      </c>
      <c r="L77" s="2">
        <v>15239969.519999998</v>
      </c>
      <c r="M77" s="2">
        <v>335.28</v>
      </c>
      <c r="N77" s="2">
        <v>457854568.15999997</v>
      </c>
      <c r="O77" s="1">
        <v>3654315.2719999999</v>
      </c>
      <c r="P77" s="2">
        <v>2359737.216</v>
      </c>
      <c r="Q77" s="2">
        <v>90.932000000000002</v>
      </c>
      <c r="R77" s="1">
        <v>31300603.205119997</v>
      </c>
      <c r="S77" s="1">
        <v>67133966635024</v>
      </c>
      <c r="T77" s="1">
        <v>74193.399999999994</v>
      </c>
      <c r="U77" s="2">
        <v>339644843.28959996</v>
      </c>
      <c r="V77" s="2">
        <v>3261025.7359999996</v>
      </c>
      <c r="W77" s="1">
        <v>529</v>
      </c>
      <c r="X77" s="2">
        <v>8668756.8559999987</v>
      </c>
      <c r="Y77" s="2">
        <v>107.18799999999999</v>
      </c>
      <c r="Z77" s="2">
        <v>767.07999999999993</v>
      </c>
      <c r="AA77" s="2">
        <v>2717.7999999999997</v>
      </c>
      <c r="AB77" s="2">
        <v>3098.7999999999997</v>
      </c>
      <c r="AC77" s="2">
        <v>2014.2199999999998</v>
      </c>
      <c r="AD77" s="2">
        <v>2402.8399999999997</v>
      </c>
      <c r="AE77" s="2">
        <v>654.04999999999995</v>
      </c>
      <c r="AF77" s="2">
        <v>139.69999999999999</v>
      </c>
      <c r="AG77" s="2">
        <v>76.199999999999989</v>
      </c>
    </row>
    <row r="78" spans="1:33" x14ac:dyDescent="0.25">
      <c r="A78" s="1" t="s">
        <v>78</v>
      </c>
      <c r="B78" s="1">
        <v>388.41078834000001</v>
      </c>
      <c r="C78" s="1">
        <v>49677.32</v>
      </c>
      <c r="D78" s="2">
        <v>802.64</v>
      </c>
      <c r="E78" s="2">
        <v>386.08</v>
      </c>
      <c r="F78" s="2">
        <v>23.622</v>
      </c>
      <c r="G78" s="2">
        <v>41.91</v>
      </c>
      <c r="H78" s="2">
        <v>61.975999999999992</v>
      </c>
      <c r="I78" s="2">
        <v>42.862499999999997</v>
      </c>
      <c r="J78" s="2">
        <v>5452631675.3599997</v>
      </c>
      <c r="K78" s="2">
        <v>15453001.351999998</v>
      </c>
      <c r="L78" s="2">
        <v>13584876.055999998</v>
      </c>
      <c r="M78" s="2">
        <v>332.73999999999995</v>
      </c>
      <c r="N78" s="2">
        <v>399165937.15039998</v>
      </c>
      <c r="O78" s="1">
        <v>3211864.5439999998</v>
      </c>
      <c r="P78" s="2">
        <v>2081157.1279999998</v>
      </c>
      <c r="Q78" s="2">
        <v>89.661999999999992</v>
      </c>
      <c r="R78" s="1">
        <v>22518120.124959998</v>
      </c>
      <c r="S78" s="1">
        <v>57735211306120.641</v>
      </c>
      <c r="T78" s="1">
        <v>73548.239999999991</v>
      </c>
      <c r="U78" s="2">
        <v>297189237.87839997</v>
      </c>
      <c r="V78" s="2">
        <v>2884123.2639999995</v>
      </c>
      <c r="W78" s="1">
        <v>469</v>
      </c>
      <c r="X78" s="2">
        <v>7685533.0159999989</v>
      </c>
      <c r="Y78" s="2">
        <v>105.664</v>
      </c>
      <c r="Z78" s="2">
        <v>762</v>
      </c>
      <c r="AA78" s="2">
        <v>2692.3999999999996</v>
      </c>
      <c r="AB78" s="2">
        <v>3073.3999999999996</v>
      </c>
      <c r="AC78" s="2">
        <v>1991.3600000000001</v>
      </c>
      <c r="AD78" s="2">
        <v>2377.4399999999996</v>
      </c>
      <c r="AE78" s="2">
        <v>654.04999999999995</v>
      </c>
      <c r="AF78" s="2">
        <v>139.69999999999999</v>
      </c>
      <c r="AG78" s="2">
        <v>76.199999999999989</v>
      </c>
    </row>
    <row r="79" spans="1:33" x14ac:dyDescent="0.25">
      <c r="A79" s="1" t="s">
        <v>79</v>
      </c>
      <c r="B79" s="1">
        <v>349.71852589999997</v>
      </c>
      <c r="C79" s="1">
        <v>44709.587999999996</v>
      </c>
      <c r="D79" s="2">
        <v>795.02</v>
      </c>
      <c r="E79" s="2">
        <v>383.53999999999996</v>
      </c>
      <c r="F79" s="2">
        <v>21.081999999999997</v>
      </c>
      <c r="G79" s="2">
        <v>38.099999999999994</v>
      </c>
      <c r="H79" s="2">
        <v>58.165999999999997</v>
      </c>
      <c r="I79" s="2">
        <v>41.274999999999999</v>
      </c>
      <c r="J79" s="2">
        <v>4869907679.5199995</v>
      </c>
      <c r="K79" s="2">
        <v>13879843.207999999</v>
      </c>
      <c r="L79" s="2">
        <v>12257523.872</v>
      </c>
      <c r="M79" s="2">
        <v>330.2</v>
      </c>
      <c r="N79" s="2">
        <v>355877868.88799995</v>
      </c>
      <c r="O79" s="1">
        <v>2867736.1999999997</v>
      </c>
      <c r="P79" s="2">
        <v>1868125.2959999999</v>
      </c>
      <c r="Q79" s="2">
        <v>89.153999999999996</v>
      </c>
      <c r="R79" s="1">
        <v>16774126.451679997</v>
      </c>
      <c r="S79" s="1">
        <v>51021814642618.234</v>
      </c>
      <c r="T79" s="1">
        <v>72257.919999999998</v>
      </c>
      <c r="U79" s="2">
        <v>265139418.10719997</v>
      </c>
      <c r="V79" s="2">
        <v>2605543.176</v>
      </c>
      <c r="W79" s="1">
        <v>421</v>
      </c>
      <c r="X79" s="2">
        <v>6898953.9439999992</v>
      </c>
      <c r="Y79" s="2">
        <v>104.90199999999999</v>
      </c>
      <c r="Z79" s="2">
        <v>756.92</v>
      </c>
      <c r="AA79" s="2">
        <v>2667</v>
      </c>
      <c r="AB79" s="2">
        <v>3048</v>
      </c>
      <c r="AC79" s="2">
        <v>1973.58</v>
      </c>
      <c r="AD79" s="2">
        <v>2357.12</v>
      </c>
      <c r="AE79" s="2">
        <v>654.04999999999995</v>
      </c>
      <c r="AF79" s="2">
        <v>139.69999999999999</v>
      </c>
      <c r="AG79" s="2">
        <v>76.199999999999989</v>
      </c>
    </row>
    <row r="80" spans="1:33" x14ac:dyDescent="0.25">
      <c r="A80" s="1" t="s">
        <v>80</v>
      </c>
      <c r="B80" s="1">
        <v>314.00259133999998</v>
      </c>
      <c r="C80" s="1">
        <v>40193.467999999993</v>
      </c>
      <c r="D80" s="2">
        <v>784.8599999999999</v>
      </c>
      <c r="E80" s="2">
        <v>383.53999999999996</v>
      </c>
      <c r="F80" s="2">
        <v>19.684999999999999</v>
      </c>
      <c r="G80" s="2">
        <v>33.527999999999999</v>
      </c>
      <c r="H80" s="2">
        <v>53.339999999999996</v>
      </c>
      <c r="I80" s="2">
        <v>41.274999999999999</v>
      </c>
      <c r="J80" s="2">
        <v>4287183683.6799994</v>
      </c>
      <c r="K80" s="2">
        <v>12306685.063999999</v>
      </c>
      <c r="L80" s="2">
        <v>10897397.559999999</v>
      </c>
      <c r="M80" s="2">
        <v>327.65999999999997</v>
      </c>
      <c r="N80" s="2">
        <v>315087189.17919999</v>
      </c>
      <c r="O80" s="1">
        <v>2539994.92</v>
      </c>
      <c r="P80" s="2">
        <v>1638706.4</v>
      </c>
      <c r="Q80" s="2">
        <v>88.646000000000001</v>
      </c>
      <c r="R80" s="1">
        <v>11820972.487039998</v>
      </c>
      <c r="S80" s="1">
        <v>44576953845655.93</v>
      </c>
      <c r="T80" s="1">
        <v>72257.919999999998</v>
      </c>
      <c r="U80" s="2">
        <v>231424672.63359997</v>
      </c>
      <c r="V80" s="2">
        <v>2294188.96</v>
      </c>
      <c r="W80" s="1">
        <v>372</v>
      </c>
      <c r="X80" s="2">
        <v>6095987.8079999993</v>
      </c>
      <c r="Y80" s="2">
        <v>104.39400000000001</v>
      </c>
      <c r="Z80" s="2">
        <v>751.84</v>
      </c>
      <c r="AA80" s="2">
        <v>2641.6</v>
      </c>
      <c r="AB80" s="2">
        <v>3022.6</v>
      </c>
      <c r="AC80" s="2">
        <v>1953.26</v>
      </c>
      <c r="AD80" s="2">
        <v>2336.7999999999997</v>
      </c>
      <c r="AE80" s="2">
        <v>654.04999999999995</v>
      </c>
      <c r="AF80" s="2">
        <v>139.69999999999999</v>
      </c>
      <c r="AG80" s="2">
        <v>76.199999999999989</v>
      </c>
    </row>
    <row r="81" spans="1:33" x14ac:dyDescent="0.25">
      <c r="A81" s="1" t="s">
        <v>81</v>
      </c>
      <c r="B81" s="1">
        <v>284.23931254000001</v>
      </c>
      <c r="C81" s="1">
        <v>36193.476000000002</v>
      </c>
      <c r="D81" s="2">
        <v>779.78</v>
      </c>
      <c r="E81" s="2">
        <v>381</v>
      </c>
      <c r="F81" s="2">
        <v>18.033999999999999</v>
      </c>
      <c r="G81" s="2">
        <v>30.225999999999996</v>
      </c>
      <c r="H81" s="2">
        <v>50.037999999999997</v>
      </c>
      <c r="I81" s="2">
        <v>39.6875</v>
      </c>
      <c r="J81" s="2">
        <v>3829329115.5199995</v>
      </c>
      <c r="K81" s="2">
        <v>11061268.199999999</v>
      </c>
      <c r="L81" s="2">
        <v>9832238.3999999985</v>
      </c>
      <c r="M81" s="2">
        <v>325.12</v>
      </c>
      <c r="N81" s="2">
        <v>280123749.42879999</v>
      </c>
      <c r="O81" s="1">
        <v>2261414.8319999999</v>
      </c>
      <c r="P81" s="2">
        <v>1466642.2279999999</v>
      </c>
      <c r="Q81" s="2">
        <v>87.884</v>
      </c>
      <c r="R81" s="1">
        <v>8740859.9375999998</v>
      </c>
      <c r="S81" s="1">
        <v>39206236514854.016</v>
      </c>
      <c r="T81" s="1">
        <v>71612.759999999995</v>
      </c>
      <c r="U81" s="2">
        <v>205618324.24639997</v>
      </c>
      <c r="V81" s="2">
        <v>2048382.9999999998</v>
      </c>
      <c r="W81" s="1">
        <v>335</v>
      </c>
      <c r="X81" s="2">
        <v>5489666.4399999995</v>
      </c>
      <c r="Y81" s="2">
        <v>103.12399999999998</v>
      </c>
      <c r="Z81" s="2">
        <v>749.3</v>
      </c>
      <c r="AA81" s="2">
        <v>2641.6</v>
      </c>
      <c r="AB81" s="2">
        <v>3022.6</v>
      </c>
      <c r="AC81" s="2">
        <v>1940.56</v>
      </c>
      <c r="AD81" s="2">
        <v>2321.56</v>
      </c>
      <c r="AE81" s="2">
        <v>654.04999999999995</v>
      </c>
      <c r="AF81" s="2">
        <v>139.69999999999999</v>
      </c>
      <c r="AG81" s="2">
        <v>76.199999999999989</v>
      </c>
    </row>
    <row r="82" spans="1:33" x14ac:dyDescent="0.25">
      <c r="A82" s="1" t="s">
        <v>82</v>
      </c>
      <c r="B82" s="1">
        <v>257.45236161999998</v>
      </c>
      <c r="C82" s="1">
        <v>32838.644</v>
      </c>
      <c r="D82" s="2">
        <v>772.16</v>
      </c>
      <c r="E82" s="2">
        <v>381</v>
      </c>
      <c r="F82" s="2">
        <v>16.637</v>
      </c>
      <c r="G82" s="2">
        <v>27.178000000000001</v>
      </c>
      <c r="H82" s="2">
        <v>46.99</v>
      </c>
      <c r="I82" s="2">
        <v>39.6875</v>
      </c>
      <c r="J82" s="2">
        <v>3425584632.6879997</v>
      </c>
      <c r="K82" s="2">
        <v>9946947.8479999993</v>
      </c>
      <c r="L82" s="2">
        <v>8865401.6239999998</v>
      </c>
      <c r="M82" s="2">
        <v>322.58</v>
      </c>
      <c r="N82" s="2">
        <v>248906392.50879997</v>
      </c>
      <c r="O82" s="1">
        <v>2015608.8719999997</v>
      </c>
      <c r="P82" s="2">
        <v>1307687.7071999998</v>
      </c>
      <c r="Q82" s="2">
        <v>86.867999999999995</v>
      </c>
      <c r="R82" s="1">
        <v>6493210.2393599991</v>
      </c>
      <c r="S82" s="1">
        <v>34641126783672.383</v>
      </c>
      <c r="T82" s="1">
        <v>70967.599999999991</v>
      </c>
      <c r="U82" s="2">
        <v>183558058.68959999</v>
      </c>
      <c r="V82" s="2">
        <v>1851738.2319999998</v>
      </c>
      <c r="W82" s="1">
        <v>301</v>
      </c>
      <c r="X82" s="2">
        <v>4932506.2639999995</v>
      </c>
      <c r="Y82" s="2">
        <v>102.36199999999999</v>
      </c>
      <c r="Z82" s="2">
        <v>744.22</v>
      </c>
      <c r="AA82" s="2">
        <v>2616.1999999999998</v>
      </c>
      <c r="AB82" s="2">
        <v>2997.2</v>
      </c>
      <c r="AC82" s="2">
        <v>1925.3199999999997</v>
      </c>
      <c r="AD82" s="2">
        <v>2306.3199999999997</v>
      </c>
      <c r="AE82" s="2">
        <v>654.04999999999995</v>
      </c>
      <c r="AF82" s="2">
        <v>139.69999999999999</v>
      </c>
      <c r="AG82" s="2">
        <v>76.199999999999989</v>
      </c>
    </row>
    <row r="83" spans="1:33" x14ac:dyDescent="0.25">
      <c r="A83" s="1" t="s">
        <v>83</v>
      </c>
      <c r="B83" s="1">
        <v>220.24826311999999</v>
      </c>
      <c r="C83" s="1">
        <v>28128.975999999999</v>
      </c>
      <c r="D83" s="2">
        <v>779.78</v>
      </c>
      <c r="E83" s="2">
        <v>266.7</v>
      </c>
      <c r="F83" s="2">
        <v>16.509999999999998</v>
      </c>
      <c r="G83" s="2">
        <v>29.971999999999998</v>
      </c>
      <c r="H83" s="2">
        <v>46.481999999999999</v>
      </c>
      <c r="I83" s="2">
        <v>39.6875</v>
      </c>
      <c r="J83" s="2">
        <v>2780425923.0079999</v>
      </c>
      <c r="K83" s="2">
        <v>8193531.9999999991</v>
      </c>
      <c r="L83" s="2">
        <v>7144759.9039999992</v>
      </c>
      <c r="M83" s="2">
        <v>314.95999999999998</v>
      </c>
      <c r="N83" s="2">
        <v>94484533.61119999</v>
      </c>
      <c r="O83" s="1">
        <v>1114320.352</v>
      </c>
      <c r="P83" s="2">
        <v>709559.87119999994</v>
      </c>
      <c r="Q83" s="2">
        <v>57.911999999999992</v>
      </c>
      <c r="R83" s="1">
        <v>6035355.6711999997</v>
      </c>
      <c r="S83" s="1">
        <v>13265671807080.742</v>
      </c>
      <c r="T83" s="1">
        <v>49999.899999999994</v>
      </c>
      <c r="U83" s="2">
        <v>99895542.143999994</v>
      </c>
      <c r="V83" s="2">
        <v>1406010.0911999999</v>
      </c>
      <c r="W83" s="1">
        <v>248</v>
      </c>
      <c r="X83" s="2">
        <v>4063991.8719999995</v>
      </c>
      <c r="Y83" s="2">
        <v>70.35799999999999</v>
      </c>
      <c r="Z83" s="2">
        <v>749.3</v>
      </c>
      <c r="AA83" s="2">
        <v>2298.6999999999998</v>
      </c>
      <c r="AB83" s="2">
        <v>2565.3999999999996</v>
      </c>
      <c r="AC83" s="2">
        <v>1826.26</v>
      </c>
      <c r="AD83" s="2">
        <v>2092.96</v>
      </c>
      <c r="AE83" s="2">
        <v>654.04999999999995</v>
      </c>
      <c r="AF83" s="2">
        <v>139.69999999999999</v>
      </c>
      <c r="AG83" s="2"/>
    </row>
    <row r="84" spans="1:33" x14ac:dyDescent="0.25">
      <c r="A84" s="1" t="s">
        <v>84</v>
      </c>
      <c r="B84" s="1">
        <v>196.43764007999999</v>
      </c>
      <c r="C84" s="1">
        <v>25032.207999999999</v>
      </c>
      <c r="D84" s="2">
        <v>769.62</v>
      </c>
      <c r="E84" s="2">
        <v>266.7</v>
      </c>
      <c r="F84" s="2">
        <v>15.620999999999999</v>
      </c>
      <c r="G84" s="2">
        <v>25.4</v>
      </c>
      <c r="H84" s="2">
        <v>41.91</v>
      </c>
      <c r="I84" s="2">
        <v>38.099999999999994</v>
      </c>
      <c r="J84" s="2">
        <v>2401655325.7119999</v>
      </c>
      <c r="K84" s="2">
        <v>7161146.9679999994</v>
      </c>
      <c r="L84" s="2">
        <v>6227084.3199999994</v>
      </c>
      <c r="M84" s="2">
        <v>309.87999999999994</v>
      </c>
      <c r="N84" s="2">
        <v>81581359.417599991</v>
      </c>
      <c r="O84" s="1">
        <v>957004.53759999992</v>
      </c>
      <c r="P84" s="2">
        <v>609598.78079999995</v>
      </c>
      <c r="Q84" s="2">
        <v>57.15</v>
      </c>
      <c r="R84" s="1">
        <v>4045769.4568320001</v>
      </c>
      <c r="S84" s="1">
        <v>11305359981338.041</v>
      </c>
      <c r="T84" s="1">
        <v>49612.804000000004</v>
      </c>
      <c r="U84" s="2">
        <v>84078747.971199989</v>
      </c>
      <c r="V84" s="2">
        <v>1186423.4335999999</v>
      </c>
      <c r="W84" s="1">
        <v>215</v>
      </c>
      <c r="X84" s="2">
        <v>3523218.76</v>
      </c>
      <c r="Y84" s="2">
        <v>69.849999999999994</v>
      </c>
      <c r="Z84" s="2">
        <v>744.22</v>
      </c>
      <c r="AA84" s="2">
        <v>2273.2999999999997</v>
      </c>
      <c r="AB84" s="2">
        <v>2540</v>
      </c>
      <c r="AC84" s="2">
        <v>1805.9399999999998</v>
      </c>
      <c r="AD84" s="2">
        <v>2072.64</v>
      </c>
      <c r="AE84" s="2">
        <v>654.04999999999995</v>
      </c>
      <c r="AF84" s="2">
        <v>139.69999999999999</v>
      </c>
      <c r="AG84" s="2"/>
    </row>
    <row r="85" spans="1:33" x14ac:dyDescent="0.25">
      <c r="A85" s="1" t="s">
        <v>85</v>
      </c>
      <c r="B85" s="1">
        <v>184.53232856</v>
      </c>
      <c r="C85" s="1">
        <v>23548.34</v>
      </c>
      <c r="D85" s="2">
        <v>767.07999999999993</v>
      </c>
      <c r="E85" s="2">
        <v>266.7</v>
      </c>
      <c r="F85" s="2">
        <v>14.858999999999998</v>
      </c>
      <c r="G85" s="2">
        <v>23.622</v>
      </c>
      <c r="H85" s="2">
        <v>40.131999999999998</v>
      </c>
      <c r="I85" s="2">
        <v>38.099999999999994</v>
      </c>
      <c r="J85" s="2">
        <v>2231000441.2159996</v>
      </c>
      <c r="K85" s="2">
        <v>6685922.1119999997</v>
      </c>
      <c r="L85" s="2">
        <v>5817407.7199999997</v>
      </c>
      <c r="M85" s="2">
        <v>307.33999999999997</v>
      </c>
      <c r="N85" s="2">
        <v>75337888.033599988</v>
      </c>
      <c r="O85" s="1">
        <v>884901.45599999989</v>
      </c>
      <c r="P85" s="2">
        <v>563715.00159999996</v>
      </c>
      <c r="Q85" s="2">
        <v>56.641999999999996</v>
      </c>
      <c r="R85" s="1">
        <v>3325689.0905439998</v>
      </c>
      <c r="S85" s="1">
        <v>10365484448447.705</v>
      </c>
      <c r="T85" s="1">
        <v>49548.287999999993</v>
      </c>
      <c r="U85" s="2">
        <v>78251508.012799993</v>
      </c>
      <c r="V85" s="2">
        <v>1106126.8199999998</v>
      </c>
      <c r="W85" s="1">
        <v>202</v>
      </c>
      <c r="X85" s="2">
        <v>3310186.9279999998</v>
      </c>
      <c r="Y85" s="2">
        <v>69.341999999999999</v>
      </c>
      <c r="Z85" s="2">
        <v>744.22</v>
      </c>
      <c r="AA85" s="2">
        <v>2273.2999999999997</v>
      </c>
      <c r="AB85" s="2">
        <v>2540</v>
      </c>
      <c r="AC85" s="2">
        <v>1800.8600000000001</v>
      </c>
      <c r="AD85" s="2">
        <v>2067.56</v>
      </c>
      <c r="AE85" s="2">
        <v>654.04999999999995</v>
      </c>
      <c r="AF85" s="2">
        <v>139.69999999999999</v>
      </c>
      <c r="AG85" s="2"/>
    </row>
    <row r="86" spans="1:33" x14ac:dyDescent="0.25">
      <c r="A86" s="1" t="s">
        <v>86</v>
      </c>
      <c r="B86" s="1">
        <v>172.62701704</v>
      </c>
      <c r="C86" s="1">
        <v>22064.472000000002</v>
      </c>
      <c r="D86" s="2">
        <v>762</v>
      </c>
      <c r="E86" s="2">
        <v>266.7</v>
      </c>
      <c r="F86" s="2">
        <v>14.350999999999997</v>
      </c>
      <c r="G86" s="2">
        <v>21.59</v>
      </c>
      <c r="H86" s="2">
        <v>38.099999999999994</v>
      </c>
      <c r="I86" s="2">
        <v>38.099999999999994</v>
      </c>
      <c r="J86" s="2">
        <v>2052020928.2079997</v>
      </c>
      <c r="K86" s="2">
        <v>6194310.1919999998</v>
      </c>
      <c r="L86" s="2">
        <v>5391344.0559999999</v>
      </c>
      <c r="M86" s="2">
        <v>304.79999999999995</v>
      </c>
      <c r="N86" s="2">
        <v>68261953.7984</v>
      </c>
      <c r="O86" s="1">
        <v>806243.54879999999</v>
      </c>
      <c r="P86" s="2">
        <v>512915.10319999995</v>
      </c>
      <c r="Q86" s="2">
        <v>55.625999999999998</v>
      </c>
      <c r="R86" s="1">
        <v>2676368.0666079996</v>
      </c>
      <c r="S86" s="1">
        <v>9371901742249.3496</v>
      </c>
      <c r="T86" s="1">
        <v>49354.74</v>
      </c>
      <c r="U86" s="2">
        <v>71175573.77759999</v>
      </c>
      <c r="V86" s="2">
        <v>1007804.4359999999</v>
      </c>
      <c r="W86" s="1">
        <v>187</v>
      </c>
      <c r="X86" s="2">
        <v>3064380.9679999999</v>
      </c>
      <c r="Y86" s="2">
        <v>68.58</v>
      </c>
      <c r="Z86" s="2">
        <v>741.68</v>
      </c>
      <c r="AA86" s="2">
        <v>2268.2199999999998</v>
      </c>
      <c r="AB86" s="2">
        <v>2534.9199999999996</v>
      </c>
      <c r="AC86" s="2">
        <v>1790.6999999999998</v>
      </c>
      <c r="AD86" s="2">
        <v>2057.4</v>
      </c>
      <c r="AE86" s="2">
        <v>654.04999999999995</v>
      </c>
      <c r="AF86" s="2">
        <v>139.69999999999999</v>
      </c>
      <c r="AG86" s="2"/>
    </row>
    <row r="87" spans="1:33" x14ac:dyDescent="0.25">
      <c r="A87" s="1" t="s">
        <v>87</v>
      </c>
      <c r="B87" s="1">
        <v>160.72170552</v>
      </c>
      <c r="C87" s="1">
        <v>20451.572</v>
      </c>
      <c r="D87" s="2">
        <v>756.92</v>
      </c>
      <c r="E87" s="2">
        <v>266.7</v>
      </c>
      <c r="F87" s="2">
        <v>13.843</v>
      </c>
      <c r="G87" s="2">
        <v>19.303999999999998</v>
      </c>
      <c r="H87" s="2">
        <v>35.813999999999993</v>
      </c>
      <c r="I87" s="2">
        <v>38.099999999999994</v>
      </c>
      <c r="J87" s="2">
        <v>1860554472.4319999</v>
      </c>
      <c r="K87" s="2">
        <v>5669924.1439999994</v>
      </c>
      <c r="L87" s="2">
        <v>4899732.1359999999</v>
      </c>
      <c r="M87" s="2">
        <v>302.26</v>
      </c>
      <c r="N87" s="2">
        <v>60769788.137599997</v>
      </c>
      <c r="O87" s="1">
        <v>719392.10959999997</v>
      </c>
      <c r="P87" s="2">
        <v>457199.08559999993</v>
      </c>
      <c r="Q87" s="2">
        <v>54.609999999999992</v>
      </c>
      <c r="R87" s="1">
        <v>2076994.8137439999</v>
      </c>
      <c r="S87" s="1">
        <v>8297758276088.9658</v>
      </c>
      <c r="T87" s="1">
        <v>49161.192000000003</v>
      </c>
      <c r="U87" s="2">
        <v>63267176.691199996</v>
      </c>
      <c r="V87" s="2">
        <v>899649.81359999988</v>
      </c>
      <c r="W87" s="1">
        <v>170</v>
      </c>
      <c r="X87" s="2">
        <v>2785800.88</v>
      </c>
      <c r="Y87" s="2">
        <v>67.817999999999998</v>
      </c>
      <c r="Z87" s="2">
        <v>736.59999999999991</v>
      </c>
      <c r="AA87" s="2">
        <v>2258.06</v>
      </c>
      <c r="AB87" s="2">
        <v>2524.7600000000002</v>
      </c>
      <c r="AC87" s="2">
        <v>1780.5399999999997</v>
      </c>
      <c r="AD87" s="2">
        <v>2047.2399999999998</v>
      </c>
      <c r="AE87" s="2">
        <v>654.04999999999995</v>
      </c>
      <c r="AF87" s="2">
        <v>139.69999999999999</v>
      </c>
      <c r="AG87" s="2"/>
    </row>
    <row r="88" spans="1:33" x14ac:dyDescent="0.25">
      <c r="A88" s="1" t="s">
        <v>88</v>
      </c>
      <c r="B88" s="1">
        <v>147.32823006000001</v>
      </c>
      <c r="C88" s="1">
        <v>18709.64</v>
      </c>
      <c r="D88" s="2">
        <v>754.38</v>
      </c>
      <c r="E88" s="2">
        <v>266.7</v>
      </c>
      <c r="F88" s="2">
        <v>13.208</v>
      </c>
      <c r="G88" s="2">
        <v>17.018000000000001</v>
      </c>
      <c r="H88" s="2">
        <v>33.527999999999999</v>
      </c>
      <c r="I88" s="2">
        <v>38.099999999999994</v>
      </c>
      <c r="J88" s="2">
        <v>1660763388.1439998</v>
      </c>
      <c r="K88" s="2">
        <v>5112763.9679999994</v>
      </c>
      <c r="L88" s="2">
        <v>4408120.216</v>
      </c>
      <c r="M88" s="2">
        <v>297.17999999999995</v>
      </c>
      <c r="N88" s="2">
        <v>53277622.476799995</v>
      </c>
      <c r="O88" s="1">
        <v>632540.67039999994</v>
      </c>
      <c r="P88" s="2">
        <v>401483.06799999997</v>
      </c>
      <c r="Q88" s="2">
        <v>53.339999999999996</v>
      </c>
      <c r="R88" s="1">
        <v>1569192.4745119999</v>
      </c>
      <c r="S88" s="1">
        <v>7196761223274.5723</v>
      </c>
      <c r="T88" s="1">
        <v>49161.192000000003</v>
      </c>
      <c r="U88" s="2">
        <v>55775011.030399993</v>
      </c>
      <c r="V88" s="2">
        <v>794772.60399999993</v>
      </c>
      <c r="W88" s="1">
        <v>154</v>
      </c>
      <c r="X88" s="2">
        <v>2523607.8559999997</v>
      </c>
      <c r="Y88" s="2">
        <v>66.548000000000002</v>
      </c>
      <c r="Z88" s="2">
        <v>736.59999999999991</v>
      </c>
      <c r="AA88" s="2">
        <v>2252.98</v>
      </c>
      <c r="AB88" s="2">
        <v>2519.6799999999998</v>
      </c>
      <c r="AC88" s="2">
        <v>1775.46</v>
      </c>
      <c r="AD88" s="2">
        <v>2042.16</v>
      </c>
      <c r="AE88" s="2">
        <v>654.04999999999995</v>
      </c>
      <c r="AF88" s="2">
        <v>139.69999999999999</v>
      </c>
      <c r="AG88" s="2"/>
    </row>
    <row r="89" spans="1:33" x14ac:dyDescent="0.25">
      <c r="A89" s="1" t="s">
        <v>89</v>
      </c>
      <c r="B89" s="1">
        <v>133.93475459999999</v>
      </c>
      <c r="C89" s="1">
        <v>16967.707999999999</v>
      </c>
      <c r="D89" s="2">
        <v>749.3</v>
      </c>
      <c r="E89" s="2">
        <v>264.15999999999997</v>
      </c>
      <c r="F89" s="2">
        <v>11.937999999999999</v>
      </c>
      <c r="G89" s="2">
        <v>15.493999999999998</v>
      </c>
      <c r="H89" s="2">
        <v>32.003999999999998</v>
      </c>
      <c r="I89" s="2">
        <v>36.512499999999996</v>
      </c>
      <c r="J89" s="2">
        <v>1502595446.4159999</v>
      </c>
      <c r="K89" s="2">
        <v>4637539.1119999997</v>
      </c>
      <c r="L89" s="2">
        <v>4014830.6799999997</v>
      </c>
      <c r="M89" s="2">
        <v>297.17999999999995</v>
      </c>
      <c r="N89" s="2">
        <v>47866613.943999998</v>
      </c>
      <c r="O89" s="1">
        <v>568631.12080000003</v>
      </c>
      <c r="P89" s="2">
        <v>362154.11439999996</v>
      </c>
      <c r="Q89" s="2">
        <v>53.085999999999991</v>
      </c>
      <c r="R89" s="1">
        <v>1182097.2487039999</v>
      </c>
      <c r="S89" s="1">
        <v>6444860796962.3037</v>
      </c>
      <c r="T89" s="1">
        <v>48451.515999999996</v>
      </c>
      <c r="U89" s="2">
        <v>49531539.646399997</v>
      </c>
      <c r="V89" s="2">
        <v>716114.69680000003</v>
      </c>
      <c r="W89" s="1">
        <v>139</v>
      </c>
      <c r="X89" s="2">
        <v>2277801.8959999997</v>
      </c>
      <c r="Y89" s="2">
        <v>66.039999999999992</v>
      </c>
      <c r="Z89" s="2">
        <v>734.06</v>
      </c>
      <c r="AA89" s="2">
        <v>2237.7399999999998</v>
      </c>
      <c r="AB89" s="2">
        <v>2501.8999999999996</v>
      </c>
      <c r="AC89" s="2">
        <v>1762.76</v>
      </c>
      <c r="AD89" s="2">
        <v>2026.9199999999998</v>
      </c>
      <c r="AE89" s="2">
        <v>654.04999999999995</v>
      </c>
      <c r="AF89" s="2">
        <v>139.69999999999999</v>
      </c>
      <c r="AG89" s="2"/>
    </row>
    <row r="90" spans="1:33" x14ac:dyDescent="0.25">
      <c r="A90" s="1" t="s">
        <v>90</v>
      </c>
      <c r="B90" s="1">
        <v>802.12036365999995</v>
      </c>
      <c r="C90" s="1">
        <v>102580.43999999999</v>
      </c>
      <c r="D90" s="2">
        <v>825.5</v>
      </c>
      <c r="E90" s="2">
        <v>388.62</v>
      </c>
      <c r="F90" s="2">
        <v>50.037999999999997</v>
      </c>
      <c r="G90" s="2">
        <v>89.915999999999997</v>
      </c>
      <c r="H90" s="2">
        <v>109.982</v>
      </c>
      <c r="I90" s="2">
        <v>46.037499999999994</v>
      </c>
      <c r="J90" s="2">
        <v>10655524495.359999</v>
      </c>
      <c r="K90" s="2">
        <v>30971550.959999997</v>
      </c>
      <c r="L90" s="2">
        <v>25727690.479999997</v>
      </c>
      <c r="M90" s="2">
        <v>322.58</v>
      </c>
      <c r="N90" s="2">
        <v>878248308.01599991</v>
      </c>
      <c r="O90" s="1">
        <v>7161146.9679999994</v>
      </c>
      <c r="P90" s="2">
        <v>4539216.7279999992</v>
      </c>
      <c r="Q90" s="2">
        <v>92.71</v>
      </c>
      <c r="R90" s="1">
        <v>206450787.09759998</v>
      </c>
      <c r="S90" s="1">
        <v>118961388877262.52</v>
      </c>
      <c r="T90" s="1">
        <v>71612.759999999995</v>
      </c>
      <c r="U90" s="2">
        <v>624347138.39999998</v>
      </c>
      <c r="V90" s="2">
        <v>5604375.8879999993</v>
      </c>
      <c r="W90" s="1">
        <v>943</v>
      </c>
      <c r="X90" s="2">
        <v>15453001.351999998</v>
      </c>
      <c r="Y90" s="2">
        <v>112.014</v>
      </c>
      <c r="Z90" s="2">
        <v>736.59999999999991</v>
      </c>
      <c r="AA90" s="2">
        <v>2692.3999999999996</v>
      </c>
      <c r="AB90" s="2">
        <v>3073.3999999999996</v>
      </c>
      <c r="AC90" s="2">
        <v>2039.62</v>
      </c>
      <c r="AD90" s="2">
        <v>2428.2399999999998</v>
      </c>
      <c r="AE90" s="2">
        <v>584.19999999999993</v>
      </c>
      <c r="AF90" s="2">
        <v>139.69999999999999</v>
      </c>
      <c r="AG90" s="2"/>
    </row>
    <row r="91" spans="1:33" x14ac:dyDescent="0.25">
      <c r="A91" s="1" t="s">
        <v>91</v>
      </c>
      <c r="B91" s="1">
        <v>547.64432992000002</v>
      </c>
      <c r="C91" s="1">
        <v>70322.44</v>
      </c>
      <c r="D91" s="2">
        <v>772.16</v>
      </c>
      <c r="E91" s="2">
        <v>373.37999999999994</v>
      </c>
      <c r="F91" s="2">
        <v>35.051999999999992</v>
      </c>
      <c r="G91" s="2">
        <v>62.991999999999997</v>
      </c>
      <c r="H91" s="2">
        <v>83.057999999999993</v>
      </c>
      <c r="I91" s="2">
        <v>47.625</v>
      </c>
      <c r="J91" s="2">
        <v>6742949094.7199993</v>
      </c>
      <c r="K91" s="2">
        <v>20319959.359999999</v>
      </c>
      <c r="L91" s="2">
        <v>17370287.84</v>
      </c>
      <c r="M91" s="2">
        <v>309.87999999999994</v>
      </c>
      <c r="N91" s="2">
        <v>545263167.53599989</v>
      </c>
      <c r="O91" s="1">
        <v>4571990.8559999997</v>
      </c>
      <c r="P91" s="2">
        <v>2933284.4559999998</v>
      </c>
      <c r="Q91" s="2">
        <v>88.391999999999996</v>
      </c>
      <c r="R91" s="1">
        <v>70759342.351999998</v>
      </c>
      <c r="S91" s="1">
        <v>68476645967724.477</v>
      </c>
      <c r="T91" s="1">
        <v>66451.48</v>
      </c>
      <c r="U91" s="2">
        <v>389176382.93599999</v>
      </c>
      <c r="V91" s="2">
        <v>3785411.7839999995</v>
      </c>
      <c r="W91" s="1">
        <v>621</v>
      </c>
      <c r="X91" s="2">
        <v>10176366.743999999</v>
      </c>
      <c r="Y91" s="2">
        <v>105.41</v>
      </c>
      <c r="Z91" s="2">
        <v>708.66</v>
      </c>
      <c r="AA91" s="2">
        <v>2540</v>
      </c>
      <c r="AB91" s="2">
        <v>2921</v>
      </c>
      <c r="AC91" s="2">
        <v>1917.6999999999998</v>
      </c>
      <c r="AD91" s="2">
        <v>2291.08</v>
      </c>
      <c r="AE91" s="2">
        <v>584.19999999999993</v>
      </c>
      <c r="AF91" s="2">
        <v>139.69999999999999</v>
      </c>
      <c r="AG91" s="2"/>
    </row>
    <row r="92" spans="1:33" x14ac:dyDescent="0.25">
      <c r="A92" s="1" t="s">
        <v>92</v>
      </c>
      <c r="B92" s="1">
        <v>500.02308383999997</v>
      </c>
      <c r="C92" s="1">
        <v>63999.871999999996</v>
      </c>
      <c r="D92" s="2">
        <v>762</v>
      </c>
      <c r="E92" s="2">
        <v>370.84</v>
      </c>
      <c r="F92" s="2">
        <v>32.003999999999998</v>
      </c>
      <c r="G92" s="2">
        <v>57.911999999999992</v>
      </c>
      <c r="H92" s="2">
        <v>77.977999999999994</v>
      </c>
      <c r="I92" s="2">
        <v>46.037499999999994</v>
      </c>
      <c r="J92" s="2">
        <v>6076978813.7599993</v>
      </c>
      <c r="K92" s="2">
        <v>18517382.319999997</v>
      </c>
      <c r="L92" s="2">
        <v>15928226.207999999</v>
      </c>
      <c r="M92" s="2">
        <v>307.33999999999997</v>
      </c>
      <c r="N92" s="2">
        <v>491153082.20799994</v>
      </c>
      <c r="O92" s="1">
        <v>4129540.1279999996</v>
      </c>
      <c r="P92" s="2">
        <v>2654704.3679999998</v>
      </c>
      <c r="Q92" s="2">
        <v>87.63</v>
      </c>
      <c r="R92" s="1">
        <v>54526316.753599994</v>
      </c>
      <c r="S92" s="1">
        <v>60689105838061.695</v>
      </c>
      <c r="T92" s="1">
        <v>65161.159999999996</v>
      </c>
      <c r="U92" s="2">
        <v>350466860.35519999</v>
      </c>
      <c r="V92" s="2">
        <v>3457670.5039999997</v>
      </c>
      <c r="W92" s="1">
        <v>563</v>
      </c>
      <c r="X92" s="2">
        <v>9225917.0319999997</v>
      </c>
      <c r="Y92" s="2">
        <v>104.13999999999999</v>
      </c>
      <c r="Z92" s="2">
        <v>703.57999999999993</v>
      </c>
      <c r="AA92" s="2">
        <v>2540</v>
      </c>
      <c r="AB92" s="2">
        <v>2921</v>
      </c>
      <c r="AC92" s="2">
        <v>1894.8399999999997</v>
      </c>
      <c r="AD92" s="2">
        <v>2265.6799999999998</v>
      </c>
      <c r="AE92" s="2">
        <v>584.19999999999993</v>
      </c>
      <c r="AF92" s="2">
        <v>139.69999999999999</v>
      </c>
      <c r="AG92" s="2"/>
    </row>
    <row r="93" spans="1:33" x14ac:dyDescent="0.25">
      <c r="A93" s="1" t="s">
        <v>93</v>
      </c>
      <c r="B93" s="1">
        <v>456.86632958000001</v>
      </c>
      <c r="C93" s="1">
        <v>58193.432000000001</v>
      </c>
      <c r="D93" s="2">
        <v>751.84</v>
      </c>
      <c r="E93" s="2">
        <v>365.76</v>
      </c>
      <c r="F93" s="2">
        <v>29.463999999999995</v>
      </c>
      <c r="G93" s="2">
        <v>53.085999999999991</v>
      </c>
      <c r="H93" s="2">
        <v>73.151999999999987</v>
      </c>
      <c r="I93" s="2">
        <v>46.037499999999994</v>
      </c>
      <c r="J93" s="2">
        <v>5452631675.3599997</v>
      </c>
      <c r="K93" s="2">
        <v>16878675.919999998</v>
      </c>
      <c r="L93" s="2">
        <v>14535325.767999999</v>
      </c>
      <c r="M93" s="2">
        <v>304.79999999999995</v>
      </c>
      <c r="N93" s="2">
        <v>437042996.87999994</v>
      </c>
      <c r="O93" s="1">
        <v>3719863.5279999995</v>
      </c>
      <c r="P93" s="2">
        <v>2392511.3439999996</v>
      </c>
      <c r="Q93" s="2">
        <v>86.614000000000004</v>
      </c>
      <c r="R93" s="1">
        <v>42039373.985599995</v>
      </c>
      <c r="S93" s="1">
        <v>53438637441479.102</v>
      </c>
      <c r="T93" s="1">
        <v>63870.84</v>
      </c>
      <c r="U93" s="2">
        <v>310092412.07199997</v>
      </c>
      <c r="V93" s="2">
        <v>3113542.1599999997</v>
      </c>
      <c r="W93" s="1">
        <v>508</v>
      </c>
      <c r="X93" s="2">
        <v>8324628.5119999992</v>
      </c>
      <c r="Y93" s="2">
        <v>102.616</v>
      </c>
      <c r="Z93" s="2">
        <v>698.5</v>
      </c>
      <c r="AA93" s="2">
        <v>2504.4399999999996</v>
      </c>
      <c r="AB93" s="2">
        <v>2870.2</v>
      </c>
      <c r="AC93" s="2">
        <v>1869.4399999999998</v>
      </c>
      <c r="AD93" s="2">
        <v>2235.1999999999998</v>
      </c>
      <c r="AE93" s="2">
        <v>584.19999999999993</v>
      </c>
      <c r="AF93" s="2">
        <v>139.69999999999999</v>
      </c>
      <c r="AG93" s="2"/>
    </row>
    <row r="94" spans="1:33" x14ac:dyDescent="0.25">
      <c r="A94" s="1" t="s">
        <v>94</v>
      </c>
      <c r="B94" s="1">
        <v>418.17406713999998</v>
      </c>
      <c r="C94" s="1">
        <v>53612.795999999995</v>
      </c>
      <c r="D94" s="2">
        <v>744.22</v>
      </c>
      <c r="E94" s="2">
        <v>365.76</v>
      </c>
      <c r="F94" s="2">
        <v>26.923999999999999</v>
      </c>
      <c r="G94" s="2">
        <v>49.021999999999998</v>
      </c>
      <c r="H94" s="2">
        <v>69.088000000000008</v>
      </c>
      <c r="I94" s="2">
        <v>44.449999999999996</v>
      </c>
      <c r="J94" s="2">
        <v>4953153964.6399994</v>
      </c>
      <c r="K94" s="2">
        <v>15338291.903999999</v>
      </c>
      <c r="L94" s="2">
        <v>13339070.095999999</v>
      </c>
      <c r="M94" s="2">
        <v>304.79999999999995</v>
      </c>
      <c r="N94" s="2">
        <v>396668548.59679997</v>
      </c>
      <c r="O94" s="1">
        <v>3375735.1839999999</v>
      </c>
      <c r="P94" s="2">
        <v>2179479.5119999996</v>
      </c>
      <c r="Q94" s="2">
        <v>86.105999999999995</v>
      </c>
      <c r="R94" s="1">
        <v>33090398.335199997</v>
      </c>
      <c r="S94" s="1">
        <v>47799384244137.086</v>
      </c>
      <c r="T94" s="1">
        <v>63548.259999999995</v>
      </c>
      <c r="U94" s="2">
        <v>285118526.53599995</v>
      </c>
      <c r="V94" s="2">
        <v>2884123.2639999995</v>
      </c>
      <c r="W94" s="1">
        <v>466</v>
      </c>
      <c r="X94" s="2">
        <v>7636371.8239999991</v>
      </c>
      <c r="Y94" s="2">
        <v>101.6</v>
      </c>
      <c r="Z94" s="2">
        <v>695.95999999999992</v>
      </c>
      <c r="AA94" s="2">
        <v>2504.4399999999996</v>
      </c>
      <c r="AB94" s="2">
        <v>2870.2</v>
      </c>
      <c r="AC94" s="2">
        <v>1854.1999999999998</v>
      </c>
      <c r="AD94" s="2">
        <v>2219.96</v>
      </c>
      <c r="AE94" s="2">
        <v>584.19999999999993</v>
      </c>
      <c r="AF94" s="2">
        <v>139.69999999999999</v>
      </c>
      <c r="AG94" s="2"/>
    </row>
    <row r="95" spans="1:33" x14ac:dyDescent="0.25">
      <c r="A95" s="1" t="s">
        <v>95</v>
      </c>
      <c r="B95" s="1">
        <v>383.94629651999998</v>
      </c>
      <c r="C95" s="1">
        <v>49096.675999999992</v>
      </c>
      <c r="D95" s="2">
        <v>736.59999999999991</v>
      </c>
      <c r="E95" s="2">
        <v>363.21999999999997</v>
      </c>
      <c r="F95" s="2">
        <v>24.891999999999999</v>
      </c>
      <c r="G95" s="2">
        <v>44.957999999999998</v>
      </c>
      <c r="H95" s="2">
        <v>65.024000000000001</v>
      </c>
      <c r="I95" s="2">
        <v>42.862499999999997</v>
      </c>
      <c r="J95" s="2">
        <v>4495299396.4799995</v>
      </c>
      <c r="K95" s="2">
        <v>13961778.527999999</v>
      </c>
      <c r="L95" s="2">
        <v>12208362.68</v>
      </c>
      <c r="M95" s="2">
        <v>302.26</v>
      </c>
      <c r="N95" s="2">
        <v>357542794.59039998</v>
      </c>
      <c r="O95" s="1">
        <v>3064380.9679999999</v>
      </c>
      <c r="P95" s="2">
        <v>1966447.6799999997</v>
      </c>
      <c r="Q95" s="2">
        <v>85.343999999999994</v>
      </c>
      <c r="R95" s="1">
        <v>25639855.81696</v>
      </c>
      <c r="S95" s="1">
        <v>42697202779875.258</v>
      </c>
      <c r="T95" s="1">
        <v>62774.067999999992</v>
      </c>
      <c r="U95" s="2">
        <v>256398558.16959998</v>
      </c>
      <c r="V95" s="2">
        <v>2621930.2399999998</v>
      </c>
      <c r="W95" s="1">
        <v>424</v>
      </c>
      <c r="X95" s="2">
        <v>6948115.135999999</v>
      </c>
      <c r="Y95" s="2">
        <v>100.58399999999999</v>
      </c>
      <c r="Z95" s="2">
        <v>690.88</v>
      </c>
      <c r="AA95" s="2">
        <v>2481.58</v>
      </c>
      <c r="AB95" s="2">
        <v>2844.7999999999997</v>
      </c>
      <c r="AC95" s="2">
        <v>1836.4199999999998</v>
      </c>
      <c r="AD95" s="2">
        <v>2199.64</v>
      </c>
      <c r="AE95" s="2">
        <v>584.19999999999993</v>
      </c>
      <c r="AF95" s="2">
        <v>139.69999999999999</v>
      </c>
      <c r="AG95" s="2"/>
    </row>
    <row r="96" spans="1:33" x14ac:dyDescent="0.25">
      <c r="A96" s="1" t="s">
        <v>96</v>
      </c>
      <c r="B96" s="1">
        <v>349.71852589999997</v>
      </c>
      <c r="C96" s="1">
        <v>44774.103999999999</v>
      </c>
      <c r="D96" s="2">
        <v>728.9799999999999</v>
      </c>
      <c r="E96" s="2">
        <v>360.67999999999995</v>
      </c>
      <c r="F96" s="2">
        <v>23.114000000000001</v>
      </c>
      <c r="G96" s="2">
        <v>40.893999999999998</v>
      </c>
      <c r="H96" s="2">
        <v>60.959999999999994</v>
      </c>
      <c r="I96" s="2">
        <v>42.862499999999997</v>
      </c>
      <c r="J96" s="2">
        <v>4037444828.3199997</v>
      </c>
      <c r="K96" s="2">
        <v>12650813.407999998</v>
      </c>
      <c r="L96" s="2">
        <v>11094042.328</v>
      </c>
      <c r="M96" s="2">
        <v>299.72000000000003</v>
      </c>
      <c r="N96" s="2">
        <v>320081966.28639996</v>
      </c>
      <c r="O96" s="1">
        <v>2753026.7519999999</v>
      </c>
      <c r="P96" s="2">
        <v>1769802.9119999998</v>
      </c>
      <c r="Q96" s="2">
        <v>84.581999999999994</v>
      </c>
      <c r="R96" s="1">
        <v>19562877.003199998</v>
      </c>
      <c r="S96" s="1">
        <v>37863557182153.531</v>
      </c>
      <c r="T96" s="1">
        <v>62064.392</v>
      </c>
      <c r="U96" s="2">
        <v>228927284.07999998</v>
      </c>
      <c r="V96" s="2">
        <v>2376124.2799999998</v>
      </c>
      <c r="W96" s="1">
        <v>384</v>
      </c>
      <c r="X96" s="2">
        <v>6292632.5759999994</v>
      </c>
      <c r="Y96" s="2">
        <v>99.567999999999998</v>
      </c>
      <c r="Z96" s="2">
        <v>688.34</v>
      </c>
      <c r="AA96" s="2">
        <v>2458.7199999999998</v>
      </c>
      <c r="AB96" s="2">
        <v>2819.3999999999996</v>
      </c>
      <c r="AC96" s="2">
        <v>1818.6399999999996</v>
      </c>
      <c r="AD96" s="2">
        <v>2179.3199999999997</v>
      </c>
      <c r="AE96" s="2">
        <v>584.19999999999993</v>
      </c>
      <c r="AF96" s="2">
        <v>139.69999999999999</v>
      </c>
      <c r="AG96" s="2"/>
    </row>
    <row r="97" spans="1:33" x14ac:dyDescent="0.25">
      <c r="A97" s="1" t="s">
        <v>97</v>
      </c>
      <c r="B97" s="1">
        <v>322.93157497999999</v>
      </c>
      <c r="C97" s="1">
        <v>41225.723999999995</v>
      </c>
      <c r="D97" s="2">
        <v>721.3599999999999</v>
      </c>
      <c r="E97" s="2">
        <v>358.14</v>
      </c>
      <c r="F97" s="2">
        <v>21.081999999999997</v>
      </c>
      <c r="G97" s="2">
        <v>38.099999999999994</v>
      </c>
      <c r="H97" s="2">
        <v>58.165999999999997</v>
      </c>
      <c r="I97" s="2">
        <v>41.274999999999999</v>
      </c>
      <c r="J97" s="2">
        <v>3708622002.0959997</v>
      </c>
      <c r="K97" s="2">
        <v>11651202.503999999</v>
      </c>
      <c r="L97" s="2">
        <v>10274689.127999999</v>
      </c>
      <c r="M97" s="2">
        <v>299.72000000000003</v>
      </c>
      <c r="N97" s="2">
        <v>293026923.62239999</v>
      </c>
      <c r="O97" s="1">
        <v>2523607.8559999997</v>
      </c>
      <c r="P97" s="2">
        <v>1638706.4</v>
      </c>
      <c r="Q97" s="2">
        <v>84.327999999999989</v>
      </c>
      <c r="R97" s="1">
        <v>15650301.602559999</v>
      </c>
      <c r="S97" s="1">
        <v>34372590917132.285</v>
      </c>
      <c r="T97" s="1">
        <v>61161.167999999998</v>
      </c>
      <c r="U97" s="2">
        <v>208531944.22559997</v>
      </c>
      <c r="V97" s="2">
        <v>2195866.5759999999</v>
      </c>
      <c r="W97" s="1">
        <v>351</v>
      </c>
      <c r="X97" s="2">
        <v>5751859.4639999997</v>
      </c>
      <c r="Y97" s="2">
        <v>98.805999999999997</v>
      </c>
      <c r="Z97" s="2">
        <v>683.25999999999988</v>
      </c>
      <c r="AA97" s="2">
        <v>2435.86</v>
      </c>
      <c r="AB97" s="2">
        <v>2794</v>
      </c>
      <c r="AC97" s="2">
        <v>1800.8600000000001</v>
      </c>
      <c r="AD97" s="2">
        <v>2159</v>
      </c>
      <c r="AE97" s="2">
        <v>584.19999999999993</v>
      </c>
      <c r="AF97" s="2">
        <v>139.69999999999999</v>
      </c>
      <c r="AG97" s="2"/>
    </row>
    <row r="98" spans="1:33" x14ac:dyDescent="0.25">
      <c r="A98" s="1" t="s">
        <v>98</v>
      </c>
      <c r="B98" s="1">
        <v>288.70380435999999</v>
      </c>
      <c r="C98" s="1">
        <v>36838.635999999999</v>
      </c>
      <c r="D98" s="2">
        <v>713.74</v>
      </c>
      <c r="E98" s="2">
        <v>355.59999999999997</v>
      </c>
      <c r="F98" s="2">
        <v>19.049999999999997</v>
      </c>
      <c r="G98" s="2">
        <v>34.036000000000001</v>
      </c>
      <c r="H98" s="2">
        <v>54.101999999999997</v>
      </c>
      <c r="I98" s="2">
        <v>39.6875</v>
      </c>
      <c r="J98" s="2">
        <v>3271579005.2159996</v>
      </c>
      <c r="K98" s="2">
        <v>10340237.384</v>
      </c>
      <c r="L98" s="2">
        <v>9160368.7759999987</v>
      </c>
      <c r="M98" s="2">
        <v>297.17999999999995</v>
      </c>
      <c r="N98" s="2">
        <v>257647252.44639999</v>
      </c>
      <c r="O98" s="1">
        <v>2228640.7039999999</v>
      </c>
      <c r="P98" s="2">
        <v>1443700.3383999998</v>
      </c>
      <c r="Q98" s="2">
        <v>83.566000000000003</v>
      </c>
      <c r="R98" s="1">
        <v>11279871.63376</v>
      </c>
      <c r="S98" s="1">
        <v>29807481185950.656</v>
      </c>
      <c r="T98" s="1">
        <v>60451.491999999998</v>
      </c>
      <c r="U98" s="2">
        <v>182725595.83839998</v>
      </c>
      <c r="V98" s="2">
        <v>1950060.6159999999</v>
      </c>
      <c r="W98" s="1">
        <v>312</v>
      </c>
      <c r="X98" s="2">
        <v>5112763.9679999994</v>
      </c>
      <c r="Y98" s="2">
        <v>97.789999999999992</v>
      </c>
      <c r="Z98" s="2">
        <v>680.72</v>
      </c>
      <c r="AA98" s="2">
        <v>2413</v>
      </c>
      <c r="AB98" s="2">
        <v>2768.6</v>
      </c>
      <c r="AC98" s="2">
        <v>1783.08</v>
      </c>
      <c r="AD98" s="2">
        <v>2138.6799999999998</v>
      </c>
      <c r="AE98" s="2">
        <v>584.19999999999993</v>
      </c>
      <c r="AF98" s="2">
        <v>139.69999999999999</v>
      </c>
      <c r="AG98" s="2"/>
    </row>
    <row r="99" spans="1:33" x14ac:dyDescent="0.25">
      <c r="A99" s="1" t="s">
        <v>99</v>
      </c>
      <c r="B99" s="1">
        <v>264.89318132</v>
      </c>
      <c r="C99" s="1">
        <v>33870.9</v>
      </c>
      <c r="D99" s="2">
        <v>706.12</v>
      </c>
      <c r="E99" s="2">
        <v>358.14</v>
      </c>
      <c r="F99" s="2">
        <v>18.414999999999999</v>
      </c>
      <c r="G99" s="2">
        <v>30.225999999999996</v>
      </c>
      <c r="H99" s="2">
        <v>50.291999999999994</v>
      </c>
      <c r="I99" s="2">
        <v>39.6875</v>
      </c>
      <c r="J99" s="2">
        <v>2921944607.7119999</v>
      </c>
      <c r="K99" s="2">
        <v>9340626.4799999986</v>
      </c>
      <c r="L99" s="2">
        <v>8275467.3199999994</v>
      </c>
      <c r="M99" s="2">
        <v>294.64</v>
      </c>
      <c r="N99" s="2">
        <v>231008441.20799997</v>
      </c>
      <c r="O99" s="1">
        <v>1999221.8079999997</v>
      </c>
      <c r="P99" s="2">
        <v>1291300.6431999998</v>
      </c>
      <c r="Q99" s="2">
        <v>82.55</v>
      </c>
      <c r="R99" s="1">
        <v>8366251.6545599997</v>
      </c>
      <c r="S99" s="1">
        <v>26423929267545.445</v>
      </c>
      <c r="T99" s="1">
        <v>60516.007999999994</v>
      </c>
      <c r="U99" s="2">
        <v>163578950.26079997</v>
      </c>
      <c r="V99" s="2">
        <v>1737028.7839999998</v>
      </c>
      <c r="W99" s="1">
        <v>282</v>
      </c>
      <c r="X99" s="2">
        <v>4621152.0479999995</v>
      </c>
      <c r="Y99" s="2">
        <v>97.281999999999996</v>
      </c>
      <c r="Z99" s="2">
        <v>675.64</v>
      </c>
      <c r="AA99" s="2">
        <v>2410.46</v>
      </c>
      <c r="AB99" s="2">
        <v>2768.6</v>
      </c>
      <c r="AC99" s="2">
        <v>1770.3799999999999</v>
      </c>
      <c r="AD99" s="2">
        <v>2128.52</v>
      </c>
      <c r="AE99" s="2">
        <v>584.19999999999993</v>
      </c>
      <c r="AF99" s="2">
        <v>139.69999999999999</v>
      </c>
      <c r="AG99" s="2"/>
    </row>
    <row r="100" spans="1:33" x14ac:dyDescent="0.25">
      <c r="A100" s="1" t="s">
        <v>100</v>
      </c>
      <c r="B100" s="1">
        <v>239.59439434000001</v>
      </c>
      <c r="C100" s="1">
        <v>30709.615999999998</v>
      </c>
      <c r="D100" s="2">
        <v>701.04</v>
      </c>
      <c r="E100" s="2">
        <v>355.59999999999997</v>
      </c>
      <c r="F100" s="2">
        <v>16.763999999999999</v>
      </c>
      <c r="G100" s="2">
        <v>27.431999999999999</v>
      </c>
      <c r="H100" s="2">
        <v>47.497999999999998</v>
      </c>
      <c r="I100" s="2">
        <v>39.6875</v>
      </c>
      <c r="J100" s="2">
        <v>2626420295.5359998</v>
      </c>
      <c r="K100" s="2">
        <v>8439337.959999999</v>
      </c>
      <c r="L100" s="2">
        <v>7505275.311999999</v>
      </c>
      <c r="M100" s="2">
        <v>292.09999999999997</v>
      </c>
      <c r="N100" s="2">
        <v>206867018.52319998</v>
      </c>
      <c r="O100" s="1">
        <v>1786189.9759999998</v>
      </c>
      <c r="P100" s="2">
        <v>1161842.8376</v>
      </c>
      <c r="Q100" s="2">
        <v>82.042000000000002</v>
      </c>
      <c r="R100" s="1">
        <v>6285094.5265599992</v>
      </c>
      <c r="S100" s="1">
        <v>23443181148950.379</v>
      </c>
      <c r="T100" s="1">
        <v>59870.847999999998</v>
      </c>
      <c r="U100" s="2">
        <v>146097230.38559997</v>
      </c>
      <c r="V100" s="2">
        <v>1564964.612</v>
      </c>
      <c r="W100" s="1">
        <v>254</v>
      </c>
      <c r="X100" s="2">
        <v>4162314.2559999996</v>
      </c>
      <c r="Y100" s="2">
        <v>96.265999999999991</v>
      </c>
      <c r="Z100" s="2">
        <v>673.09999999999991</v>
      </c>
      <c r="AA100" s="2">
        <v>2413</v>
      </c>
      <c r="AB100" s="2">
        <v>2768.6</v>
      </c>
      <c r="AC100" s="2">
        <v>1757.68</v>
      </c>
      <c r="AD100" s="2">
        <v>2113.2799999999997</v>
      </c>
      <c r="AE100" s="2">
        <v>584.19999999999993</v>
      </c>
      <c r="AF100" s="2">
        <v>139.69999999999999</v>
      </c>
      <c r="AG100" s="2"/>
    </row>
    <row r="101" spans="1:33" x14ac:dyDescent="0.25">
      <c r="A101" s="1" t="s">
        <v>101</v>
      </c>
      <c r="B101" s="1">
        <v>217.27193524</v>
      </c>
      <c r="C101" s="1">
        <v>27870.912</v>
      </c>
      <c r="D101" s="2">
        <v>695.95999999999992</v>
      </c>
      <c r="E101" s="2">
        <v>355.59999999999997</v>
      </c>
      <c r="F101" s="2">
        <v>15.366999999999999</v>
      </c>
      <c r="G101" s="2">
        <v>24.764999999999997</v>
      </c>
      <c r="H101" s="2">
        <v>44.704000000000001</v>
      </c>
      <c r="I101" s="2">
        <v>38.099999999999994</v>
      </c>
      <c r="J101" s="2">
        <v>2355869868.8959999</v>
      </c>
      <c r="K101" s="2">
        <v>7603597.6959999995</v>
      </c>
      <c r="L101" s="2">
        <v>6784244.4959999993</v>
      </c>
      <c r="M101" s="2">
        <v>292.09999999999997</v>
      </c>
      <c r="N101" s="2">
        <v>184390521.54079998</v>
      </c>
      <c r="O101" s="1">
        <v>1601016.1527999998</v>
      </c>
      <c r="P101" s="2">
        <v>1040578.5639999999</v>
      </c>
      <c r="Q101" s="2">
        <v>81.28</v>
      </c>
      <c r="R101" s="1">
        <v>4703415.1092799995</v>
      </c>
      <c r="S101" s="1">
        <v>20730968896895.41</v>
      </c>
      <c r="T101" s="1">
        <v>59677.299999999996</v>
      </c>
      <c r="U101" s="2">
        <v>131529130.48959999</v>
      </c>
      <c r="V101" s="2">
        <v>1414203.6231999998</v>
      </c>
      <c r="W101" s="1">
        <v>229</v>
      </c>
      <c r="X101" s="2">
        <v>3752637.6559999995</v>
      </c>
      <c r="Y101" s="2">
        <v>95.503999999999991</v>
      </c>
      <c r="Z101" s="2">
        <v>670.56</v>
      </c>
      <c r="AA101" s="2">
        <v>2387.6</v>
      </c>
      <c r="AB101" s="2">
        <v>2743.2</v>
      </c>
      <c r="AC101" s="2">
        <v>1747.5199999999998</v>
      </c>
      <c r="AD101" s="2">
        <v>2103.12</v>
      </c>
      <c r="AE101" s="2">
        <v>584.19999999999993</v>
      </c>
      <c r="AF101" s="2">
        <v>139.69999999999999</v>
      </c>
      <c r="AG101" s="2"/>
    </row>
    <row r="102" spans="1:33" x14ac:dyDescent="0.25">
      <c r="A102" s="1" t="s">
        <v>102</v>
      </c>
      <c r="B102" s="1">
        <v>191.97314825999999</v>
      </c>
      <c r="C102" s="1">
        <v>24387.047999999995</v>
      </c>
      <c r="D102" s="2">
        <v>701.04</v>
      </c>
      <c r="E102" s="2">
        <v>254</v>
      </c>
      <c r="F102" s="2">
        <v>15.493999999999998</v>
      </c>
      <c r="G102" s="2">
        <v>27.94</v>
      </c>
      <c r="H102" s="2">
        <v>43.18</v>
      </c>
      <c r="I102" s="2">
        <v>38.099999999999994</v>
      </c>
      <c r="J102" s="2">
        <v>1981261585.8559997</v>
      </c>
      <c r="K102" s="2">
        <v>6472890.2799999993</v>
      </c>
      <c r="L102" s="2">
        <v>5653537.0799999991</v>
      </c>
      <c r="M102" s="2">
        <v>284.47999999999996</v>
      </c>
      <c r="N102" s="2">
        <v>76586582.310399994</v>
      </c>
      <c r="O102" s="1">
        <v>943894.88639999996</v>
      </c>
      <c r="P102" s="2">
        <v>603043.95519999985</v>
      </c>
      <c r="Q102" s="2">
        <v>56.133999999999993</v>
      </c>
      <c r="R102" s="1">
        <v>4620168.8241599994</v>
      </c>
      <c r="S102" s="1">
        <v>8727415662553.1191</v>
      </c>
      <c r="T102" s="1">
        <v>42774.107999999993</v>
      </c>
      <c r="U102" s="2">
        <v>75754119.459199995</v>
      </c>
      <c r="V102" s="2">
        <v>1120875.1776000001</v>
      </c>
      <c r="W102" s="1">
        <v>195</v>
      </c>
      <c r="X102" s="2">
        <v>3195477.4799999995</v>
      </c>
      <c r="Y102" s="2">
        <v>67.563999999999993</v>
      </c>
      <c r="Z102" s="2">
        <v>673.09999999999991</v>
      </c>
      <c r="AA102" s="2">
        <v>2108.1999999999998</v>
      </c>
      <c r="AB102" s="2">
        <v>2362.1999999999998</v>
      </c>
      <c r="AC102" s="2">
        <v>1656.08</v>
      </c>
      <c r="AD102" s="2">
        <v>1910.08</v>
      </c>
      <c r="AE102" s="2">
        <v>584.19999999999993</v>
      </c>
      <c r="AF102" s="2">
        <v>139.69999999999999</v>
      </c>
      <c r="AG102" s="2"/>
    </row>
    <row r="103" spans="1:33" x14ac:dyDescent="0.25">
      <c r="A103" s="1" t="s">
        <v>103</v>
      </c>
      <c r="B103" s="1">
        <v>169.65068915999998</v>
      </c>
      <c r="C103" s="1">
        <v>21677.376</v>
      </c>
      <c r="D103" s="2">
        <v>693.42</v>
      </c>
      <c r="E103" s="2">
        <v>256.53999999999996</v>
      </c>
      <c r="F103" s="2">
        <v>14.477999999999998</v>
      </c>
      <c r="G103" s="2">
        <v>23.622</v>
      </c>
      <c r="H103" s="2">
        <v>38.862000000000002</v>
      </c>
      <c r="I103" s="2">
        <v>38.099999999999994</v>
      </c>
      <c r="J103" s="2">
        <v>1698224216.4479997</v>
      </c>
      <c r="K103" s="2">
        <v>5620762.9519999996</v>
      </c>
      <c r="L103" s="2">
        <v>4899732.1359999999</v>
      </c>
      <c r="M103" s="2">
        <v>279.39999999999998</v>
      </c>
      <c r="N103" s="2">
        <v>66180796.670399994</v>
      </c>
      <c r="O103" s="1">
        <v>807882.2551999999</v>
      </c>
      <c r="P103" s="2">
        <v>516192.51599999995</v>
      </c>
      <c r="Q103" s="2">
        <v>55.372</v>
      </c>
      <c r="R103" s="1">
        <v>3050976.3496479997</v>
      </c>
      <c r="S103" s="1">
        <v>7411589916506.6494</v>
      </c>
      <c r="T103" s="1">
        <v>42967.655999999995</v>
      </c>
      <c r="U103" s="2">
        <v>64932102.393599994</v>
      </c>
      <c r="V103" s="2">
        <v>957004.53759999992</v>
      </c>
      <c r="W103" s="1">
        <v>170</v>
      </c>
      <c r="X103" s="2">
        <v>2785800.88</v>
      </c>
      <c r="Y103" s="2">
        <v>67.309999999999988</v>
      </c>
      <c r="Z103" s="2">
        <v>670.56</v>
      </c>
      <c r="AA103" s="2">
        <v>2100.58</v>
      </c>
      <c r="AB103" s="2">
        <v>2357.12</v>
      </c>
      <c r="AC103" s="2">
        <v>1643.3799999999999</v>
      </c>
      <c r="AD103" s="2">
        <v>1899.9199999999998</v>
      </c>
      <c r="AE103" s="2">
        <v>584.19999999999993</v>
      </c>
      <c r="AF103" s="2">
        <v>139.69999999999999</v>
      </c>
      <c r="AG103" s="2"/>
    </row>
    <row r="104" spans="1:33" x14ac:dyDescent="0.25">
      <c r="A104" s="1" t="s">
        <v>104</v>
      </c>
      <c r="B104" s="1">
        <v>151.79272187999999</v>
      </c>
      <c r="C104" s="1">
        <v>19354.8</v>
      </c>
      <c r="D104" s="2">
        <v>688.34</v>
      </c>
      <c r="E104" s="2">
        <v>254</v>
      </c>
      <c r="F104" s="2">
        <v>13.081</v>
      </c>
      <c r="G104" s="2">
        <v>21.081999999999997</v>
      </c>
      <c r="H104" s="2">
        <v>36.321999999999996</v>
      </c>
      <c r="I104" s="2">
        <v>36.512499999999996</v>
      </c>
      <c r="J104" s="2">
        <v>1506757760.6719999</v>
      </c>
      <c r="K104" s="2">
        <v>4998054.5199999996</v>
      </c>
      <c r="L104" s="2">
        <v>4375346.0879999995</v>
      </c>
      <c r="M104" s="2">
        <v>279.39999999999998</v>
      </c>
      <c r="N104" s="2">
        <v>57856168.158399992</v>
      </c>
      <c r="O104" s="1">
        <v>711198.57759999996</v>
      </c>
      <c r="P104" s="2">
        <v>455560.37919999997</v>
      </c>
      <c r="Q104" s="2">
        <v>54.609999999999992</v>
      </c>
      <c r="R104" s="1">
        <v>2197701.927168</v>
      </c>
      <c r="S104" s="1">
        <v>6444860796962.3037</v>
      </c>
      <c r="T104" s="1">
        <v>42387.012000000002</v>
      </c>
      <c r="U104" s="2">
        <v>56607473.881599993</v>
      </c>
      <c r="V104" s="2">
        <v>847211.20880000002</v>
      </c>
      <c r="W104" s="1">
        <v>151</v>
      </c>
      <c r="X104" s="2">
        <v>2474446.6639999999</v>
      </c>
      <c r="Y104" s="2">
        <v>66.548000000000002</v>
      </c>
      <c r="Z104" s="2">
        <v>668.02</v>
      </c>
      <c r="AA104" s="2">
        <v>2085.3399999999997</v>
      </c>
      <c r="AB104" s="2">
        <v>2339.3399999999997</v>
      </c>
      <c r="AC104" s="2">
        <v>1630.68</v>
      </c>
      <c r="AD104" s="2">
        <v>1884.68</v>
      </c>
      <c r="AE104" s="2">
        <v>584.19999999999993</v>
      </c>
      <c r="AF104" s="2">
        <v>139.69999999999999</v>
      </c>
      <c r="AG104" s="2"/>
    </row>
    <row r="105" spans="1:33" x14ac:dyDescent="0.25">
      <c r="A105" s="1" t="s">
        <v>105</v>
      </c>
      <c r="B105" s="1">
        <v>139.88741035999999</v>
      </c>
      <c r="C105" s="1">
        <v>17806.416000000001</v>
      </c>
      <c r="D105" s="2">
        <v>683.25999999999988</v>
      </c>
      <c r="E105" s="2">
        <v>254</v>
      </c>
      <c r="F105" s="2">
        <v>12.446</v>
      </c>
      <c r="G105" s="2">
        <v>18.922999999999998</v>
      </c>
      <c r="H105" s="2">
        <v>34.036000000000001</v>
      </c>
      <c r="I105" s="2">
        <v>36.512499999999996</v>
      </c>
      <c r="J105" s="2">
        <v>1361076761.7119999</v>
      </c>
      <c r="K105" s="2">
        <v>4555603.7919999994</v>
      </c>
      <c r="L105" s="2">
        <v>3982056.5519999997</v>
      </c>
      <c r="M105" s="2">
        <v>276.86</v>
      </c>
      <c r="N105" s="2">
        <v>51612696.774399996</v>
      </c>
      <c r="O105" s="1">
        <v>635818.08319999988</v>
      </c>
      <c r="P105" s="2">
        <v>406399.18719999999</v>
      </c>
      <c r="Q105" s="2">
        <v>53.847999999999999</v>
      </c>
      <c r="R105" s="1">
        <v>1677412.6451679999</v>
      </c>
      <c r="S105" s="1">
        <v>5719813957304.0449</v>
      </c>
      <c r="T105" s="1">
        <v>42193.464</v>
      </c>
      <c r="U105" s="2">
        <v>50780233.923199996</v>
      </c>
      <c r="V105" s="2">
        <v>758721.06319999986</v>
      </c>
      <c r="W105" s="1">
        <v>137</v>
      </c>
      <c r="X105" s="2">
        <v>2245027.7679999997</v>
      </c>
      <c r="Y105" s="2">
        <v>65.785999999999987</v>
      </c>
      <c r="Z105" s="2">
        <v>665.4799999999999</v>
      </c>
      <c r="AA105" s="2">
        <v>2077.7199999999998</v>
      </c>
      <c r="AB105" s="2">
        <v>2331.7199999999998</v>
      </c>
      <c r="AC105" s="2">
        <v>1620.5199999999998</v>
      </c>
      <c r="AD105" s="2">
        <v>1874.5199999999998</v>
      </c>
      <c r="AE105" s="2">
        <v>584.19999999999993</v>
      </c>
      <c r="AF105" s="2">
        <v>139.69999999999999</v>
      </c>
      <c r="AG105" s="2"/>
    </row>
    <row r="106" spans="1:33" x14ac:dyDescent="0.25">
      <c r="A106" s="1" t="s">
        <v>106</v>
      </c>
      <c r="B106" s="1">
        <v>125.00577095999999</v>
      </c>
      <c r="C106" s="1">
        <v>15935.451999999999</v>
      </c>
      <c r="D106" s="2">
        <v>678.18</v>
      </c>
      <c r="E106" s="2">
        <v>254</v>
      </c>
      <c r="F106" s="2">
        <v>11.683999999999999</v>
      </c>
      <c r="G106" s="2">
        <v>16.256</v>
      </c>
      <c r="H106" s="2">
        <v>31.495999999999999</v>
      </c>
      <c r="I106" s="2">
        <v>36.512499999999996</v>
      </c>
      <c r="J106" s="2">
        <v>1186259562.9599998</v>
      </c>
      <c r="K106" s="2">
        <v>3998443.6159999995</v>
      </c>
      <c r="L106" s="2">
        <v>3490444.6319999998</v>
      </c>
      <c r="M106" s="2">
        <v>271.77999999999997</v>
      </c>
      <c r="N106" s="2">
        <v>44120531.113599993</v>
      </c>
      <c r="O106" s="1">
        <v>544050.52480000001</v>
      </c>
      <c r="P106" s="2">
        <v>347405.75679999997</v>
      </c>
      <c r="Q106" s="2">
        <v>52.577999999999996</v>
      </c>
      <c r="R106" s="1">
        <v>1169610.3059359998</v>
      </c>
      <c r="S106" s="1">
        <v>4806792011067.7178</v>
      </c>
      <c r="T106" s="1">
        <v>42064.432000000001</v>
      </c>
      <c r="U106" s="2">
        <v>43288068.262399994</v>
      </c>
      <c r="V106" s="2">
        <v>652205.14719999989</v>
      </c>
      <c r="W106" s="1">
        <v>121</v>
      </c>
      <c r="X106" s="2">
        <v>1982834.7439999997</v>
      </c>
      <c r="Y106" s="2">
        <v>64.515999999999991</v>
      </c>
      <c r="Z106" s="2">
        <v>662.94</v>
      </c>
      <c r="AA106" s="2">
        <v>2070.1</v>
      </c>
      <c r="AB106" s="2">
        <v>2324.1</v>
      </c>
      <c r="AC106" s="2">
        <v>1610.36</v>
      </c>
      <c r="AD106" s="2">
        <v>1864.3600000000001</v>
      </c>
      <c r="AE106" s="2">
        <v>584.19999999999993</v>
      </c>
      <c r="AF106" s="2">
        <v>139.69999999999999</v>
      </c>
      <c r="AG106" s="2"/>
    </row>
    <row r="107" spans="1:33" x14ac:dyDescent="0.25">
      <c r="A107" s="1" t="s">
        <v>107</v>
      </c>
      <c r="B107" s="1">
        <v>550.6206578</v>
      </c>
      <c r="C107" s="1">
        <v>70322.44</v>
      </c>
      <c r="D107" s="2">
        <v>711.19999999999993</v>
      </c>
      <c r="E107" s="2">
        <v>347.97999999999996</v>
      </c>
      <c r="F107" s="2">
        <v>38.607999999999997</v>
      </c>
      <c r="G107" s="2">
        <v>69.088000000000008</v>
      </c>
      <c r="H107" s="2">
        <v>81.787999999999997</v>
      </c>
      <c r="I107" s="2">
        <v>50.8</v>
      </c>
      <c r="J107" s="2">
        <v>5577501103.039999</v>
      </c>
      <c r="K107" s="2">
        <v>18517382.319999997</v>
      </c>
      <c r="L107" s="2">
        <v>15682420.247999998</v>
      </c>
      <c r="M107" s="2">
        <v>281.94</v>
      </c>
      <c r="N107" s="2">
        <v>482828453.69599998</v>
      </c>
      <c r="O107" s="1">
        <v>4375346.0879999995</v>
      </c>
      <c r="P107" s="2">
        <v>2785800.88</v>
      </c>
      <c r="Q107" s="2">
        <v>83.057999999999993</v>
      </c>
      <c r="R107" s="1">
        <v>83662516.545599997</v>
      </c>
      <c r="S107" s="1">
        <v>49947671176457.852</v>
      </c>
      <c r="T107" s="1">
        <v>55870.855999999992</v>
      </c>
      <c r="U107" s="2">
        <v>335898760.45919997</v>
      </c>
      <c r="V107" s="2">
        <v>3424896.3759999997</v>
      </c>
      <c r="W107" s="1">
        <v>568</v>
      </c>
      <c r="X107" s="2">
        <v>9307852.352</v>
      </c>
      <c r="Y107" s="2">
        <v>99.567999999999998</v>
      </c>
      <c r="Z107" s="2">
        <v>642.62</v>
      </c>
      <c r="AA107" s="2">
        <v>2369.8199999999997</v>
      </c>
      <c r="AB107" s="2">
        <v>2717.7999999999997</v>
      </c>
      <c r="AC107" s="2">
        <v>1770.3799999999999</v>
      </c>
      <c r="AD107" s="2">
        <v>2118.36</v>
      </c>
      <c r="AE107" s="2">
        <v>508</v>
      </c>
      <c r="AF107" s="2">
        <v>139.69999999999999</v>
      </c>
      <c r="AG107" s="2"/>
    </row>
    <row r="108" spans="1:33" x14ac:dyDescent="0.25">
      <c r="A108" s="1" t="s">
        <v>108</v>
      </c>
      <c r="B108" s="1">
        <v>498.53491989999998</v>
      </c>
      <c r="C108" s="1">
        <v>63419.227999999996</v>
      </c>
      <c r="D108" s="2">
        <v>698.5</v>
      </c>
      <c r="E108" s="2">
        <v>342.9</v>
      </c>
      <c r="F108" s="2">
        <v>35.051999999999992</v>
      </c>
      <c r="G108" s="2">
        <v>62.991999999999997</v>
      </c>
      <c r="H108" s="2">
        <v>75.691999999999993</v>
      </c>
      <c r="I108" s="2">
        <v>47.625</v>
      </c>
      <c r="J108" s="2">
        <v>4953153964.6399994</v>
      </c>
      <c r="K108" s="2">
        <v>16714805.279999999</v>
      </c>
      <c r="L108" s="2">
        <v>14158423.295999998</v>
      </c>
      <c r="M108" s="2">
        <v>279.39999999999998</v>
      </c>
      <c r="N108" s="2">
        <v>428718368.36799997</v>
      </c>
      <c r="O108" s="1">
        <v>3900121.2319999998</v>
      </c>
      <c r="P108" s="2">
        <v>2490833.7279999997</v>
      </c>
      <c r="Q108" s="2">
        <v>82.042000000000002</v>
      </c>
      <c r="R108" s="1">
        <v>63267176.691199996</v>
      </c>
      <c r="S108" s="1">
        <v>43234274512955.453</v>
      </c>
      <c r="T108" s="1">
        <v>54451.504000000001</v>
      </c>
      <c r="U108" s="2">
        <v>294275617.89919996</v>
      </c>
      <c r="V108" s="2">
        <v>3080768.0319999997</v>
      </c>
      <c r="W108" s="1">
        <v>506</v>
      </c>
      <c r="X108" s="2">
        <v>8291854.3839999996</v>
      </c>
      <c r="Y108" s="2">
        <v>98.043999999999997</v>
      </c>
      <c r="Z108" s="2">
        <v>635</v>
      </c>
      <c r="AA108" s="2">
        <v>2324.1</v>
      </c>
      <c r="AB108" s="2">
        <v>2667</v>
      </c>
      <c r="AC108" s="2">
        <v>1739.8999999999999</v>
      </c>
      <c r="AD108" s="2">
        <v>2082.7999999999997</v>
      </c>
      <c r="AE108" s="2">
        <v>508</v>
      </c>
      <c r="AF108" s="2">
        <v>139.69999999999999</v>
      </c>
      <c r="AG108" s="2"/>
    </row>
    <row r="109" spans="1:33" x14ac:dyDescent="0.25">
      <c r="A109" s="1" t="s">
        <v>109</v>
      </c>
      <c r="B109" s="1">
        <v>455.37816563999996</v>
      </c>
      <c r="C109" s="1">
        <v>57870.851999999999</v>
      </c>
      <c r="D109" s="2">
        <v>688.34</v>
      </c>
      <c r="E109" s="2">
        <v>340.36</v>
      </c>
      <c r="F109" s="2">
        <v>32.003999999999998</v>
      </c>
      <c r="G109" s="2">
        <v>57.911999999999992</v>
      </c>
      <c r="H109" s="2">
        <v>70.611999999999995</v>
      </c>
      <c r="I109" s="2">
        <v>46.037499999999994</v>
      </c>
      <c r="J109" s="2">
        <v>4453676253.9199991</v>
      </c>
      <c r="K109" s="2">
        <v>15108873.007999999</v>
      </c>
      <c r="L109" s="2">
        <v>12929393.495999999</v>
      </c>
      <c r="M109" s="2">
        <v>276.86</v>
      </c>
      <c r="N109" s="2">
        <v>382516680.12639993</v>
      </c>
      <c r="O109" s="1">
        <v>3506831.6959999995</v>
      </c>
      <c r="P109" s="2">
        <v>2245027.7679999997</v>
      </c>
      <c r="Q109" s="2">
        <v>81.28</v>
      </c>
      <c r="R109" s="1">
        <v>48699076.795199998</v>
      </c>
      <c r="S109" s="1">
        <v>38132093048693.633</v>
      </c>
      <c r="T109" s="1">
        <v>53612.795999999995</v>
      </c>
      <c r="U109" s="2">
        <v>264306955.25599998</v>
      </c>
      <c r="V109" s="2">
        <v>2818575.0079999999</v>
      </c>
      <c r="W109" s="1">
        <v>459</v>
      </c>
      <c r="X109" s="2">
        <v>7521662.3759999992</v>
      </c>
      <c r="Y109" s="2">
        <v>96.774000000000001</v>
      </c>
      <c r="Z109" s="2">
        <v>629.91999999999996</v>
      </c>
      <c r="AA109" s="2">
        <v>2301.2399999999998</v>
      </c>
      <c r="AB109" s="2">
        <v>2641.6</v>
      </c>
      <c r="AC109" s="2">
        <v>1717.0399999999997</v>
      </c>
      <c r="AD109" s="2">
        <v>2057.4</v>
      </c>
      <c r="AE109" s="2">
        <v>508</v>
      </c>
      <c r="AF109" s="2">
        <v>139.69999999999999</v>
      </c>
      <c r="AG109" s="2"/>
    </row>
    <row r="110" spans="1:33" x14ac:dyDescent="0.25">
      <c r="A110" s="1" t="s">
        <v>110</v>
      </c>
      <c r="B110" s="1">
        <v>415.19773925999999</v>
      </c>
      <c r="C110" s="1">
        <v>52838.603999999999</v>
      </c>
      <c r="D110" s="2">
        <v>678.18</v>
      </c>
      <c r="E110" s="2">
        <v>337.82</v>
      </c>
      <c r="F110" s="2">
        <v>29.463999999999995</v>
      </c>
      <c r="G110" s="2">
        <v>53.085999999999991</v>
      </c>
      <c r="H110" s="2">
        <v>65.785999999999987</v>
      </c>
      <c r="I110" s="2">
        <v>46.037499999999994</v>
      </c>
      <c r="J110" s="2">
        <v>3995821685.7599998</v>
      </c>
      <c r="K110" s="2">
        <v>13683198.439999999</v>
      </c>
      <c r="L110" s="2">
        <v>11765911.952</v>
      </c>
      <c r="M110" s="2">
        <v>274.32</v>
      </c>
      <c r="N110" s="2">
        <v>342558463.26879996</v>
      </c>
      <c r="O110" s="1">
        <v>3162703.3519999995</v>
      </c>
      <c r="P110" s="2">
        <v>2031995.9359999998</v>
      </c>
      <c r="Q110" s="2">
        <v>80.518000000000001</v>
      </c>
      <c r="R110" s="1">
        <v>37668944.016799994</v>
      </c>
      <c r="S110" s="1">
        <v>33566983317512</v>
      </c>
      <c r="T110" s="1">
        <v>52774.087999999996</v>
      </c>
      <c r="U110" s="2">
        <v>236835681.16639999</v>
      </c>
      <c r="V110" s="2">
        <v>2556381.9839999997</v>
      </c>
      <c r="W110" s="1">
        <v>416</v>
      </c>
      <c r="X110" s="2">
        <v>6817018.6239999998</v>
      </c>
      <c r="Y110" s="2">
        <v>95.503999999999991</v>
      </c>
      <c r="Z110" s="2">
        <v>624.84</v>
      </c>
      <c r="AA110" s="2">
        <v>2278.38</v>
      </c>
      <c r="AB110" s="2">
        <v>2616.1999999999998</v>
      </c>
      <c r="AC110" s="2">
        <v>1694.18</v>
      </c>
      <c r="AD110" s="2">
        <v>2032</v>
      </c>
      <c r="AE110" s="2">
        <v>508</v>
      </c>
      <c r="AF110" s="2">
        <v>139.69999999999999</v>
      </c>
      <c r="AG110" s="2"/>
    </row>
    <row r="111" spans="1:33" x14ac:dyDescent="0.25">
      <c r="A111" s="1" t="s">
        <v>111</v>
      </c>
      <c r="B111" s="1">
        <v>372.04098499999998</v>
      </c>
      <c r="C111" s="1">
        <v>47419.259999999995</v>
      </c>
      <c r="D111" s="2">
        <v>668.02</v>
      </c>
      <c r="E111" s="2">
        <v>335.28</v>
      </c>
      <c r="F111" s="2">
        <v>26.416</v>
      </c>
      <c r="G111" s="2">
        <v>48.005999999999993</v>
      </c>
      <c r="H111" s="2">
        <v>60.706000000000003</v>
      </c>
      <c r="I111" s="2">
        <v>44.449999999999996</v>
      </c>
      <c r="J111" s="2">
        <v>3533804803.3439999</v>
      </c>
      <c r="K111" s="2">
        <v>12191975.615999999</v>
      </c>
      <c r="L111" s="2">
        <v>10553269.215999998</v>
      </c>
      <c r="M111" s="2">
        <v>271.77999999999997</v>
      </c>
      <c r="N111" s="2">
        <v>301351552.13439995</v>
      </c>
      <c r="O111" s="1">
        <v>2802187.9439999997</v>
      </c>
      <c r="P111" s="2">
        <v>1802577.0399999998</v>
      </c>
      <c r="Q111" s="2">
        <v>79.756</v>
      </c>
      <c r="R111" s="1">
        <v>27721012.944959994</v>
      </c>
      <c r="S111" s="1">
        <v>29001873586330.367</v>
      </c>
      <c r="T111" s="1">
        <v>51999.895999999993</v>
      </c>
      <c r="U111" s="2">
        <v>208948175.65119997</v>
      </c>
      <c r="V111" s="2">
        <v>2294188.96</v>
      </c>
      <c r="W111" s="1">
        <v>370</v>
      </c>
      <c r="X111" s="2">
        <v>6063213.6799999997</v>
      </c>
      <c r="Y111" s="2">
        <v>94.233999999999995</v>
      </c>
      <c r="Z111" s="2">
        <v>619.75999999999988</v>
      </c>
      <c r="AA111" s="2">
        <v>2255.52</v>
      </c>
      <c r="AB111" s="2">
        <v>2590.7999999999997</v>
      </c>
      <c r="AC111" s="2">
        <v>1671.32</v>
      </c>
      <c r="AD111" s="2">
        <v>2006.6</v>
      </c>
      <c r="AE111" s="2">
        <v>508</v>
      </c>
      <c r="AF111" s="2">
        <v>139.69999999999999</v>
      </c>
      <c r="AG111" s="2"/>
    </row>
    <row r="112" spans="1:33" x14ac:dyDescent="0.25">
      <c r="A112" s="1" t="s">
        <v>112</v>
      </c>
      <c r="B112" s="1">
        <v>340.78954226000002</v>
      </c>
      <c r="C112" s="1">
        <v>43354.752</v>
      </c>
      <c r="D112" s="2">
        <v>660.4</v>
      </c>
      <c r="E112" s="2">
        <v>332.73999999999995</v>
      </c>
      <c r="F112" s="2">
        <v>24.383999999999997</v>
      </c>
      <c r="G112" s="2">
        <v>43.942</v>
      </c>
      <c r="H112" s="2">
        <v>56.641999999999996</v>
      </c>
      <c r="I112" s="2">
        <v>42.862499999999997</v>
      </c>
      <c r="J112" s="2">
        <v>3184170405.8399997</v>
      </c>
      <c r="K112" s="2">
        <v>11061268.199999999</v>
      </c>
      <c r="L112" s="2">
        <v>9635593.6319999993</v>
      </c>
      <c r="M112" s="2">
        <v>271.77999999999997</v>
      </c>
      <c r="N112" s="2">
        <v>270966658.06559998</v>
      </c>
      <c r="O112" s="1">
        <v>2523607.8559999997</v>
      </c>
      <c r="P112" s="2">
        <v>1628874.1616</v>
      </c>
      <c r="Q112" s="2">
        <v>78.993999999999986</v>
      </c>
      <c r="R112" s="1">
        <v>21352672.133279998</v>
      </c>
      <c r="S112" s="1">
        <v>25806296774503.223</v>
      </c>
      <c r="T112" s="1">
        <v>51290.219999999994</v>
      </c>
      <c r="U112" s="2">
        <v>187304141.51999998</v>
      </c>
      <c r="V112" s="2">
        <v>2081157.1279999998</v>
      </c>
      <c r="W112" s="1">
        <v>336</v>
      </c>
      <c r="X112" s="2">
        <v>5506053.5039999997</v>
      </c>
      <c r="Y112" s="2">
        <v>93.217999999999989</v>
      </c>
      <c r="Z112" s="2">
        <v>617.22</v>
      </c>
      <c r="AA112" s="2">
        <v>2258.06</v>
      </c>
      <c r="AB112" s="2">
        <v>2590.7999999999997</v>
      </c>
      <c r="AC112" s="2">
        <v>1653.5399999999997</v>
      </c>
      <c r="AD112" s="2">
        <v>1986.28</v>
      </c>
      <c r="AE112" s="2">
        <v>508</v>
      </c>
      <c r="AF112" s="2">
        <v>139.69999999999999</v>
      </c>
      <c r="AG112" s="2"/>
    </row>
    <row r="113" spans="1:33" x14ac:dyDescent="0.25">
      <c r="A113" s="1" t="s">
        <v>113</v>
      </c>
      <c r="B113" s="1">
        <v>308.04993558000001</v>
      </c>
      <c r="C113" s="1">
        <v>39161.212</v>
      </c>
      <c r="D113" s="2">
        <v>652.78</v>
      </c>
      <c r="E113" s="2">
        <v>330.2</v>
      </c>
      <c r="F113" s="2">
        <v>22.097999999999999</v>
      </c>
      <c r="G113" s="2">
        <v>39.878</v>
      </c>
      <c r="H113" s="2">
        <v>52.577999999999996</v>
      </c>
      <c r="I113" s="2">
        <v>41.274999999999999</v>
      </c>
      <c r="J113" s="2">
        <v>2838698322.5919995</v>
      </c>
      <c r="K113" s="2">
        <v>9930560.784</v>
      </c>
      <c r="L113" s="2">
        <v>8701530.9839999992</v>
      </c>
      <c r="M113" s="2">
        <v>269.23999999999995</v>
      </c>
      <c r="N113" s="2">
        <v>240581763.99679998</v>
      </c>
      <c r="O113" s="1">
        <v>2245027.7679999997</v>
      </c>
      <c r="P113" s="2">
        <v>1455171.2831999997</v>
      </c>
      <c r="Q113" s="2">
        <v>78.231999999999999</v>
      </c>
      <c r="R113" s="1">
        <v>15941663.600479998</v>
      </c>
      <c r="S113" s="1">
        <v>22583866376022.074</v>
      </c>
      <c r="T113" s="1">
        <v>50580.544000000002</v>
      </c>
      <c r="U113" s="2">
        <v>166492570.23999998</v>
      </c>
      <c r="V113" s="2">
        <v>1884512.3599999999</v>
      </c>
      <c r="W113" s="1">
        <v>302</v>
      </c>
      <c r="X113" s="2">
        <v>4948893.3279999997</v>
      </c>
      <c r="Y113" s="2">
        <v>91.947999999999993</v>
      </c>
      <c r="Z113" s="2">
        <v>612.14</v>
      </c>
      <c r="AA113" s="2">
        <v>2235.1999999999998</v>
      </c>
      <c r="AB113" s="2">
        <v>2565.3999999999996</v>
      </c>
      <c r="AC113" s="2">
        <v>1635.76</v>
      </c>
      <c r="AD113" s="2">
        <v>1965.96</v>
      </c>
      <c r="AE113" s="2">
        <v>508</v>
      </c>
      <c r="AF113" s="2">
        <v>139.69999999999999</v>
      </c>
      <c r="AG113" s="2"/>
    </row>
    <row r="114" spans="1:33" x14ac:dyDescent="0.25">
      <c r="A114" s="1" t="s">
        <v>114</v>
      </c>
      <c r="B114" s="1">
        <v>285.72747648000001</v>
      </c>
      <c r="C114" s="1">
        <v>36451.54</v>
      </c>
      <c r="D114" s="2">
        <v>647.69999999999993</v>
      </c>
      <c r="E114" s="2">
        <v>330.2</v>
      </c>
      <c r="F114" s="2">
        <v>20.574000000000002</v>
      </c>
      <c r="G114" s="2">
        <v>37.083999999999996</v>
      </c>
      <c r="H114" s="2">
        <v>49.783999999999999</v>
      </c>
      <c r="I114" s="2">
        <v>41.274999999999999</v>
      </c>
      <c r="J114" s="2">
        <v>2605608724.2559996</v>
      </c>
      <c r="K114" s="2">
        <v>9160368.7759999987</v>
      </c>
      <c r="L114" s="2">
        <v>8046048.4239999996</v>
      </c>
      <c r="M114" s="2">
        <v>266.7</v>
      </c>
      <c r="N114" s="2">
        <v>220602655.56799999</v>
      </c>
      <c r="O114" s="1">
        <v>2064770.0639999998</v>
      </c>
      <c r="P114" s="2">
        <v>1340461.8351999999</v>
      </c>
      <c r="Q114" s="2">
        <v>77.977999999999994</v>
      </c>
      <c r="R114" s="1">
        <v>12819927.90848</v>
      </c>
      <c r="S114" s="1">
        <v>20489286617009.324</v>
      </c>
      <c r="T114" s="1">
        <v>50386.995999999992</v>
      </c>
      <c r="U114" s="2">
        <v>154421858.8976</v>
      </c>
      <c r="V114" s="2">
        <v>1753415.8479999998</v>
      </c>
      <c r="W114" s="1">
        <v>280</v>
      </c>
      <c r="X114" s="2">
        <v>4588377.92</v>
      </c>
      <c r="Y114" s="2">
        <v>91.44</v>
      </c>
      <c r="Z114" s="2">
        <v>609.59999999999991</v>
      </c>
      <c r="AA114" s="2">
        <v>2235.1999999999998</v>
      </c>
      <c r="AB114" s="2">
        <v>2565.3999999999996</v>
      </c>
      <c r="AC114" s="2">
        <v>1625.6</v>
      </c>
      <c r="AD114" s="2">
        <v>1955.8</v>
      </c>
      <c r="AE114" s="2">
        <v>508</v>
      </c>
      <c r="AF114" s="2">
        <v>139.69999999999999</v>
      </c>
      <c r="AG114" s="2"/>
    </row>
    <row r="115" spans="1:33" x14ac:dyDescent="0.25">
      <c r="A115" s="1" t="s">
        <v>115</v>
      </c>
      <c r="B115" s="1">
        <v>261.91685344000001</v>
      </c>
      <c r="C115" s="1">
        <v>33354.771999999997</v>
      </c>
      <c r="D115" s="2">
        <v>640.07999999999993</v>
      </c>
      <c r="E115" s="2">
        <v>327.65999999999997</v>
      </c>
      <c r="F115" s="2">
        <v>19.049999999999997</v>
      </c>
      <c r="G115" s="2">
        <v>34.036000000000001</v>
      </c>
      <c r="H115" s="2">
        <v>46.735999999999997</v>
      </c>
      <c r="I115" s="2">
        <v>39.6875</v>
      </c>
      <c r="J115" s="2">
        <v>2364194497.408</v>
      </c>
      <c r="K115" s="2">
        <v>8373789.703999999</v>
      </c>
      <c r="L115" s="2">
        <v>7374178.7999999989</v>
      </c>
      <c r="M115" s="2">
        <v>266.7</v>
      </c>
      <c r="N115" s="2">
        <v>199374852.86239997</v>
      </c>
      <c r="O115" s="1">
        <v>1884512.3599999999</v>
      </c>
      <c r="P115" s="2">
        <v>1217558.8551999999</v>
      </c>
      <c r="Q115" s="2">
        <v>77.215999999999994</v>
      </c>
      <c r="R115" s="1">
        <v>9947931.0718399975</v>
      </c>
      <c r="S115" s="1">
        <v>18367853271342.566</v>
      </c>
      <c r="T115" s="1">
        <v>49612.804000000004</v>
      </c>
      <c r="U115" s="2">
        <v>138605064.72479999</v>
      </c>
      <c r="V115" s="2">
        <v>1591183.9143999997</v>
      </c>
      <c r="W115" s="1">
        <v>254</v>
      </c>
      <c r="X115" s="2">
        <v>4162314.2559999996</v>
      </c>
      <c r="Y115" s="2">
        <v>90.677999999999997</v>
      </c>
      <c r="Z115" s="2">
        <v>607.05999999999995</v>
      </c>
      <c r="AA115" s="2">
        <v>2202.1799999999998</v>
      </c>
      <c r="AB115" s="2">
        <v>2529.8399999999997</v>
      </c>
      <c r="AC115" s="2">
        <v>1607.82</v>
      </c>
      <c r="AD115" s="2">
        <v>1935.48</v>
      </c>
      <c r="AE115" s="2">
        <v>508</v>
      </c>
      <c r="AF115" s="2">
        <v>139.69999999999999</v>
      </c>
      <c r="AG115" s="2"/>
    </row>
    <row r="116" spans="1:33" x14ac:dyDescent="0.25">
      <c r="A116" s="1" t="s">
        <v>116</v>
      </c>
      <c r="B116" s="1">
        <v>241.08255828</v>
      </c>
      <c r="C116" s="1">
        <v>30838.647999999997</v>
      </c>
      <c r="D116" s="2">
        <v>635</v>
      </c>
      <c r="E116" s="2">
        <v>330.2</v>
      </c>
      <c r="F116" s="2">
        <v>17.906999999999996</v>
      </c>
      <c r="G116" s="2">
        <v>30.987999999999996</v>
      </c>
      <c r="H116" s="2">
        <v>43.687999999999995</v>
      </c>
      <c r="I116" s="2">
        <v>39.6875</v>
      </c>
      <c r="J116" s="2">
        <v>2151916470.3519998</v>
      </c>
      <c r="K116" s="2">
        <v>7669145.9519999996</v>
      </c>
      <c r="L116" s="2">
        <v>6784244.4959999993</v>
      </c>
      <c r="M116" s="2">
        <v>264.15999999999997</v>
      </c>
      <c r="N116" s="2">
        <v>184390521.54079998</v>
      </c>
      <c r="O116" s="1">
        <v>1720641.7199999997</v>
      </c>
      <c r="P116" s="2">
        <v>1120875.1776000001</v>
      </c>
      <c r="Q116" s="2">
        <v>77.469999999999985</v>
      </c>
      <c r="R116" s="1">
        <v>7700281.3735999996</v>
      </c>
      <c r="S116" s="1">
        <v>16810345245410.008</v>
      </c>
      <c r="T116" s="1">
        <v>49870.867999999995</v>
      </c>
      <c r="U116" s="2">
        <v>127366816.23359999</v>
      </c>
      <c r="V116" s="2">
        <v>1461726.1087999998</v>
      </c>
      <c r="W116" s="1">
        <v>233</v>
      </c>
      <c r="X116" s="2">
        <v>3818185.9119999995</v>
      </c>
      <c r="Y116" s="2">
        <v>90.677999999999997</v>
      </c>
      <c r="Z116" s="2">
        <v>604.52</v>
      </c>
      <c r="AA116" s="2">
        <v>2202.1799999999998</v>
      </c>
      <c r="AB116" s="2">
        <v>2532.38</v>
      </c>
      <c r="AC116" s="2">
        <v>1600.1999999999998</v>
      </c>
      <c r="AD116" s="2">
        <v>1930.3999999999999</v>
      </c>
      <c r="AE116" s="2">
        <v>508</v>
      </c>
      <c r="AF116" s="2">
        <v>139.69999999999999</v>
      </c>
      <c r="AG116" s="2"/>
    </row>
    <row r="117" spans="1:33" x14ac:dyDescent="0.25">
      <c r="A117" s="1" t="s">
        <v>117</v>
      </c>
      <c r="B117" s="1">
        <v>217.27193524</v>
      </c>
      <c r="C117" s="1">
        <v>27741.879999999997</v>
      </c>
      <c r="D117" s="2">
        <v>627.38</v>
      </c>
      <c r="E117" s="2">
        <v>327.65999999999997</v>
      </c>
      <c r="F117" s="2">
        <v>16.509999999999998</v>
      </c>
      <c r="G117" s="2">
        <v>27.686</v>
      </c>
      <c r="H117" s="2">
        <v>40.386000000000003</v>
      </c>
      <c r="I117" s="2">
        <v>39.6875</v>
      </c>
      <c r="J117" s="2">
        <v>1906339929.2479999</v>
      </c>
      <c r="K117" s="2">
        <v>6849792.7519999994</v>
      </c>
      <c r="L117" s="2">
        <v>6079600.743999999</v>
      </c>
      <c r="M117" s="2">
        <v>261.62</v>
      </c>
      <c r="N117" s="2">
        <v>162746487.40959999</v>
      </c>
      <c r="O117" s="1">
        <v>1527274.3647999999</v>
      </c>
      <c r="P117" s="2">
        <v>991417.37199999986</v>
      </c>
      <c r="Q117" s="2">
        <v>76.453999999999994</v>
      </c>
      <c r="R117" s="1">
        <v>5577501.1030399995</v>
      </c>
      <c r="S117" s="1">
        <v>14662058313089.24</v>
      </c>
      <c r="T117" s="1">
        <v>49096.675999999992</v>
      </c>
      <c r="U117" s="2">
        <v>111550022.06079999</v>
      </c>
      <c r="V117" s="2">
        <v>1291300.6431999998</v>
      </c>
      <c r="W117" s="1">
        <v>207</v>
      </c>
      <c r="X117" s="2">
        <v>3392122.2479999997</v>
      </c>
      <c r="Y117" s="2">
        <v>89.661999999999992</v>
      </c>
      <c r="Z117" s="2">
        <v>599.44000000000005</v>
      </c>
      <c r="AA117" s="2">
        <v>2181.86</v>
      </c>
      <c r="AB117" s="2">
        <v>2509.52</v>
      </c>
      <c r="AC117" s="2">
        <v>1582.4199999999998</v>
      </c>
      <c r="AD117" s="2">
        <v>1910.08</v>
      </c>
      <c r="AE117" s="2">
        <v>508</v>
      </c>
      <c r="AF117" s="2">
        <v>139.69999999999999</v>
      </c>
      <c r="AG117" s="2"/>
    </row>
    <row r="118" spans="1:33" x14ac:dyDescent="0.25">
      <c r="A118" s="1" t="s">
        <v>118</v>
      </c>
      <c r="B118" s="1">
        <v>194.94947614</v>
      </c>
      <c r="C118" s="1">
        <v>24903.175999999999</v>
      </c>
      <c r="D118" s="2">
        <v>622.29999999999995</v>
      </c>
      <c r="E118" s="2">
        <v>327.65999999999997</v>
      </c>
      <c r="F118" s="2">
        <v>15.366999999999999</v>
      </c>
      <c r="G118" s="2">
        <v>24.383999999999997</v>
      </c>
      <c r="H118" s="2">
        <v>37.083999999999996</v>
      </c>
      <c r="I118" s="2">
        <v>38.099999999999994</v>
      </c>
      <c r="J118" s="2">
        <v>1673250330.9119999</v>
      </c>
      <c r="K118" s="2">
        <v>6063213.6799999997</v>
      </c>
      <c r="L118" s="2">
        <v>5391344.0559999999</v>
      </c>
      <c r="M118" s="2">
        <v>259.08</v>
      </c>
      <c r="N118" s="2">
        <v>141518684.704</v>
      </c>
      <c r="O118" s="1">
        <v>1335545.7159999998</v>
      </c>
      <c r="P118" s="2">
        <v>868514.39199999988</v>
      </c>
      <c r="Q118" s="2">
        <v>75.438000000000002</v>
      </c>
      <c r="R118" s="1">
        <v>3954198.5431999997</v>
      </c>
      <c r="S118" s="1">
        <v>12648039314038.521</v>
      </c>
      <c r="T118" s="1">
        <v>48967.644</v>
      </c>
      <c r="U118" s="2">
        <v>97814385.015999988</v>
      </c>
      <c r="V118" s="2">
        <v>1138900.9479999999</v>
      </c>
      <c r="W118" s="1">
        <v>184</v>
      </c>
      <c r="X118" s="2">
        <v>3015219.7759999996</v>
      </c>
      <c r="Y118" s="2">
        <v>88.646000000000001</v>
      </c>
      <c r="Z118" s="2">
        <v>596.9</v>
      </c>
      <c r="AA118" s="2">
        <v>2174.2399999999998</v>
      </c>
      <c r="AB118" s="2">
        <v>2501.8999999999996</v>
      </c>
      <c r="AC118" s="2">
        <v>1572.2599999999998</v>
      </c>
      <c r="AD118" s="2">
        <v>1899.9199999999998</v>
      </c>
      <c r="AE118" s="2">
        <v>508</v>
      </c>
      <c r="AF118" s="2">
        <v>139.69999999999999</v>
      </c>
      <c r="AG118" s="2"/>
    </row>
    <row r="119" spans="1:33" x14ac:dyDescent="0.25">
      <c r="A119" s="1" t="s">
        <v>119</v>
      </c>
      <c r="B119" s="1">
        <v>174.11518097999999</v>
      </c>
      <c r="C119" s="1">
        <v>22193.503999999997</v>
      </c>
      <c r="D119" s="2">
        <v>617.22</v>
      </c>
      <c r="E119" s="2">
        <v>325.12</v>
      </c>
      <c r="F119" s="2">
        <v>13.97</v>
      </c>
      <c r="G119" s="2">
        <v>21.59</v>
      </c>
      <c r="H119" s="2">
        <v>34.29</v>
      </c>
      <c r="I119" s="2">
        <v>38.099999999999994</v>
      </c>
      <c r="J119" s="2">
        <v>1473459246.6239998</v>
      </c>
      <c r="K119" s="2">
        <v>5358569.9279999994</v>
      </c>
      <c r="L119" s="2">
        <v>4768635.6239999998</v>
      </c>
      <c r="M119" s="2">
        <v>256.53999999999996</v>
      </c>
      <c r="N119" s="2">
        <v>123620733.40319999</v>
      </c>
      <c r="O119" s="1">
        <v>1170036.3696000001</v>
      </c>
      <c r="P119" s="2">
        <v>761998.47599999991</v>
      </c>
      <c r="Q119" s="2">
        <v>74.675999999999988</v>
      </c>
      <c r="R119" s="1">
        <v>2797075.1800319995</v>
      </c>
      <c r="S119" s="1">
        <v>10956263354835.916</v>
      </c>
      <c r="T119" s="1">
        <v>48387</v>
      </c>
      <c r="U119" s="2">
        <v>84911210.822399989</v>
      </c>
      <c r="V119" s="2">
        <v>999610.90399999986</v>
      </c>
      <c r="W119" s="1">
        <v>163</v>
      </c>
      <c r="X119" s="2">
        <v>2671091.4319999996</v>
      </c>
      <c r="Y119" s="2">
        <v>87.884</v>
      </c>
      <c r="Z119" s="2">
        <v>596.9</v>
      </c>
      <c r="AA119" s="2">
        <v>2159</v>
      </c>
      <c r="AB119" s="2">
        <v>2484.12</v>
      </c>
      <c r="AC119" s="2">
        <v>1559.56</v>
      </c>
      <c r="AD119" s="2">
        <v>1884.68</v>
      </c>
      <c r="AE119" s="2">
        <v>508</v>
      </c>
      <c r="AF119" s="2">
        <v>139.69999999999999</v>
      </c>
      <c r="AG119" s="2"/>
    </row>
    <row r="120" spans="1:33" x14ac:dyDescent="0.25">
      <c r="A120" s="1" t="s">
        <v>120</v>
      </c>
      <c r="B120" s="1">
        <v>154.76904976</v>
      </c>
      <c r="C120" s="1">
        <v>19806.412</v>
      </c>
      <c r="D120" s="2">
        <v>612.14</v>
      </c>
      <c r="E120" s="2">
        <v>325.12</v>
      </c>
      <c r="F120" s="2">
        <v>12.7</v>
      </c>
      <c r="G120" s="2">
        <v>19.049999999999997</v>
      </c>
      <c r="H120" s="2">
        <v>31.75</v>
      </c>
      <c r="I120" s="2">
        <v>36.512499999999996</v>
      </c>
      <c r="J120" s="2">
        <v>1290317419.3599999</v>
      </c>
      <c r="K120" s="2">
        <v>4735861.4959999993</v>
      </c>
      <c r="L120" s="2">
        <v>4227862.5119999992</v>
      </c>
      <c r="M120" s="2">
        <v>256.53999999999996</v>
      </c>
      <c r="N120" s="2">
        <v>107803939.2304</v>
      </c>
      <c r="O120" s="1">
        <v>1022552.7935999999</v>
      </c>
      <c r="P120" s="2">
        <v>666953.5048</v>
      </c>
      <c r="Q120" s="2">
        <v>73.914000000000001</v>
      </c>
      <c r="R120" s="1">
        <v>1964612.3288319998</v>
      </c>
      <c r="S120" s="1">
        <v>9452462502211.3789</v>
      </c>
      <c r="T120" s="1">
        <v>48193.451999999997</v>
      </c>
      <c r="U120" s="2">
        <v>74505425.182399988</v>
      </c>
      <c r="V120" s="2">
        <v>883262.74959999986</v>
      </c>
      <c r="W120" s="1">
        <v>144</v>
      </c>
      <c r="X120" s="2">
        <v>2359737.216</v>
      </c>
      <c r="Y120" s="2">
        <v>86.867999999999995</v>
      </c>
      <c r="Z120" s="2">
        <v>594.3599999999999</v>
      </c>
      <c r="AA120" s="2">
        <v>2151.38</v>
      </c>
      <c r="AB120" s="2">
        <v>2476.5</v>
      </c>
      <c r="AC120" s="2">
        <v>1549.3999999999999</v>
      </c>
      <c r="AD120" s="2">
        <v>1874.5199999999998</v>
      </c>
      <c r="AE120" s="2">
        <v>508</v>
      </c>
      <c r="AF120" s="2">
        <v>139.69999999999999</v>
      </c>
      <c r="AG120" s="2"/>
    </row>
    <row r="121" spans="1:33" x14ac:dyDescent="0.25">
      <c r="A121" s="1" t="s">
        <v>121</v>
      </c>
      <c r="B121" s="1">
        <v>153.28088582000001</v>
      </c>
      <c r="C121" s="1">
        <v>19548.347999999998</v>
      </c>
      <c r="D121" s="2">
        <v>622.29999999999995</v>
      </c>
      <c r="E121" s="2">
        <v>228.6</v>
      </c>
      <c r="F121" s="2">
        <v>13.97</v>
      </c>
      <c r="G121" s="2">
        <v>24.891999999999999</v>
      </c>
      <c r="H121" s="2">
        <v>37.591999999999999</v>
      </c>
      <c r="I121" s="2">
        <v>38.099999999999994</v>
      </c>
      <c r="J121" s="2">
        <v>1248694276.8</v>
      </c>
      <c r="K121" s="2">
        <v>4588377.92</v>
      </c>
      <c r="L121" s="2">
        <v>4014830.6799999997</v>
      </c>
      <c r="M121" s="2">
        <v>254</v>
      </c>
      <c r="N121" s="2">
        <v>49531539.646399997</v>
      </c>
      <c r="O121" s="1">
        <v>680063.15599999996</v>
      </c>
      <c r="P121" s="2">
        <v>434257.19599999994</v>
      </c>
      <c r="Q121" s="2">
        <v>50.545999999999999</v>
      </c>
      <c r="R121" s="1">
        <v>2942756.1789919999</v>
      </c>
      <c r="S121" s="1">
        <v>4457695384565.5938</v>
      </c>
      <c r="T121" s="1">
        <v>34128.964</v>
      </c>
      <c r="U121" s="2">
        <v>48699076.795199998</v>
      </c>
      <c r="V121" s="2">
        <v>798050.01679999998</v>
      </c>
      <c r="W121" s="1">
        <v>139</v>
      </c>
      <c r="X121" s="2">
        <v>2277801.8959999997</v>
      </c>
      <c r="Y121" s="2">
        <v>60.959999999999994</v>
      </c>
      <c r="Z121" s="2">
        <v>596.9</v>
      </c>
      <c r="AA121" s="2">
        <v>1879.6</v>
      </c>
      <c r="AB121" s="2">
        <v>2108.1999999999998</v>
      </c>
      <c r="AC121" s="2">
        <v>1473.1999999999998</v>
      </c>
      <c r="AD121" s="2">
        <v>1701.8</v>
      </c>
      <c r="AE121" s="2">
        <v>508</v>
      </c>
      <c r="AF121" s="2">
        <v>139.69999999999999</v>
      </c>
      <c r="AG121" s="2"/>
    </row>
    <row r="122" spans="1:33" x14ac:dyDescent="0.25">
      <c r="A122" s="1" t="s">
        <v>122</v>
      </c>
      <c r="B122" s="1">
        <v>139.88741035999999</v>
      </c>
      <c r="C122" s="1">
        <v>17870.931999999997</v>
      </c>
      <c r="D122" s="2">
        <v>617.22</v>
      </c>
      <c r="E122" s="2">
        <v>230.37799999999999</v>
      </c>
      <c r="F122" s="2">
        <v>13.081</v>
      </c>
      <c r="G122" s="2">
        <v>22.224999999999998</v>
      </c>
      <c r="H122" s="2">
        <v>35.051999999999992</v>
      </c>
      <c r="I122" s="2">
        <v>36.512499999999996</v>
      </c>
      <c r="J122" s="2">
        <v>1123824849.1199999</v>
      </c>
      <c r="K122" s="2">
        <v>4162314.2559999996</v>
      </c>
      <c r="L122" s="2">
        <v>3637928.2079999996</v>
      </c>
      <c r="M122" s="2">
        <v>250.69799999999998</v>
      </c>
      <c r="N122" s="2">
        <v>45369225.390399992</v>
      </c>
      <c r="O122" s="1">
        <v>614514.89999999991</v>
      </c>
      <c r="P122" s="2">
        <v>393289.53599999996</v>
      </c>
      <c r="Q122" s="2">
        <v>50.291999999999994</v>
      </c>
      <c r="R122" s="1">
        <v>2189377.2986559998</v>
      </c>
      <c r="S122" s="1">
        <v>4028037998101.4399</v>
      </c>
      <c r="T122" s="1">
        <v>34257.995999999999</v>
      </c>
      <c r="U122" s="2">
        <v>43704299.687999994</v>
      </c>
      <c r="V122" s="2">
        <v>717753.40319999994</v>
      </c>
      <c r="W122" s="1">
        <v>126</v>
      </c>
      <c r="X122" s="2">
        <v>2064770.0639999998</v>
      </c>
      <c r="Y122" s="2">
        <v>60.959999999999994</v>
      </c>
      <c r="Z122" s="2">
        <v>594.3599999999999</v>
      </c>
      <c r="AA122" s="2">
        <v>1877.06</v>
      </c>
      <c r="AB122" s="2">
        <v>2108.1999999999998</v>
      </c>
      <c r="AC122" s="2">
        <v>1465.58</v>
      </c>
      <c r="AD122" s="2">
        <v>1694.18</v>
      </c>
      <c r="AE122" s="2">
        <v>508</v>
      </c>
      <c r="AF122" s="2">
        <v>139.69999999999999</v>
      </c>
      <c r="AG122" s="2"/>
    </row>
    <row r="123" spans="1:33" x14ac:dyDescent="0.25">
      <c r="A123" s="1" t="s">
        <v>123</v>
      </c>
      <c r="B123" s="1">
        <v>125.00577095999999</v>
      </c>
      <c r="C123" s="1">
        <v>15935.451999999999</v>
      </c>
      <c r="D123" s="2">
        <v>612.14</v>
      </c>
      <c r="E123" s="2">
        <v>229.10799999999998</v>
      </c>
      <c r="F123" s="2">
        <v>11.937999999999999</v>
      </c>
      <c r="G123" s="2">
        <v>19.558</v>
      </c>
      <c r="H123" s="2">
        <v>32.257999999999996</v>
      </c>
      <c r="I123" s="2">
        <v>36.512499999999996</v>
      </c>
      <c r="J123" s="2">
        <v>986468478.67199993</v>
      </c>
      <c r="K123" s="2">
        <v>3670702.3359999997</v>
      </c>
      <c r="L123" s="2">
        <v>3211864.5439999998</v>
      </c>
      <c r="M123" s="2">
        <v>248.66599999999997</v>
      </c>
      <c r="N123" s="2">
        <v>39292246.576639995</v>
      </c>
      <c r="O123" s="1">
        <v>534218.28639999998</v>
      </c>
      <c r="P123" s="2">
        <v>342489.63759999996</v>
      </c>
      <c r="Q123" s="2">
        <v>49.529999999999994</v>
      </c>
      <c r="R123" s="1">
        <v>1540056.2747199999</v>
      </c>
      <c r="S123" s="1">
        <v>3437259091713.2285</v>
      </c>
      <c r="T123" s="1">
        <v>33935.415999999997</v>
      </c>
      <c r="U123" s="2">
        <v>38001929.157279998</v>
      </c>
      <c r="V123" s="2">
        <v>629263.2575999999</v>
      </c>
      <c r="W123" s="1">
        <v>111</v>
      </c>
      <c r="X123" s="2">
        <v>1818964.1039999998</v>
      </c>
      <c r="Y123" s="2">
        <v>60.198</v>
      </c>
      <c r="Z123" s="2">
        <v>591.81999999999994</v>
      </c>
      <c r="AA123" s="2">
        <v>1866.8999999999999</v>
      </c>
      <c r="AB123" s="2">
        <v>2095.5</v>
      </c>
      <c r="AC123" s="2">
        <v>1452.8799999999999</v>
      </c>
      <c r="AD123" s="2">
        <v>1681.48</v>
      </c>
      <c r="AE123" s="2">
        <v>508</v>
      </c>
      <c r="AF123" s="2">
        <v>139.69999999999999</v>
      </c>
      <c r="AG123" s="2"/>
    </row>
    <row r="124" spans="1:33" x14ac:dyDescent="0.25">
      <c r="A124" s="1" t="s">
        <v>124</v>
      </c>
      <c r="B124" s="1">
        <v>113.10045943999999</v>
      </c>
      <c r="C124" s="1">
        <v>14451.583999999999</v>
      </c>
      <c r="D124" s="2">
        <v>607.05999999999995</v>
      </c>
      <c r="E124" s="2">
        <v>228.346</v>
      </c>
      <c r="F124" s="2">
        <v>11.176</v>
      </c>
      <c r="G124" s="2">
        <v>17.272000000000002</v>
      </c>
      <c r="H124" s="2">
        <v>29.971999999999998</v>
      </c>
      <c r="I124" s="2">
        <v>36.512499999999996</v>
      </c>
      <c r="J124" s="2">
        <v>874085993.75999987</v>
      </c>
      <c r="K124" s="2">
        <v>3277412.8</v>
      </c>
      <c r="L124" s="2">
        <v>2884123.2639999995</v>
      </c>
      <c r="M124" s="2">
        <v>246.12599999999998</v>
      </c>
      <c r="N124" s="2">
        <v>34339092.611999996</v>
      </c>
      <c r="O124" s="1">
        <v>468670.03039999999</v>
      </c>
      <c r="P124" s="2">
        <v>301521.97759999993</v>
      </c>
      <c r="Q124" s="2">
        <v>48.767999999999994</v>
      </c>
      <c r="R124" s="1">
        <v>1115500.2206079999</v>
      </c>
      <c r="S124" s="1">
        <v>2980748118595.0654</v>
      </c>
      <c r="T124" s="1">
        <v>33677.351999999999</v>
      </c>
      <c r="U124" s="2">
        <v>33215267.762879994</v>
      </c>
      <c r="V124" s="2">
        <v>553882.76319999993</v>
      </c>
      <c r="W124" s="1">
        <v>98.9</v>
      </c>
      <c r="X124" s="2">
        <v>1620680.6295999999</v>
      </c>
      <c r="Y124" s="2">
        <v>59.181999999999995</v>
      </c>
      <c r="Z124" s="2">
        <v>589.28</v>
      </c>
      <c r="AA124" s="2">
        <v>1854.1999999999998</v>
      </c>
      <c r="AB124" s="2">
        <v>2082.7999999999997</v>
      </c>
      <c r="AC124" s="2">
        <v>1442.7199999999998</v>
      </c>
      <c r="AD124" s="2">
        <v>1671.32</v>
      </c>
      <c r="AE124" s="2">
        <v>508</v>
      </c>
      <c r="AF124" s="2">
        <v>139.69999999999999</v>
      </c>
      <c r="AG124" s="2"/>
    </row>
    <row r="125" spans="1:33" x14ac:dyDescent="0.25">
      <c r="A125" s="1" t="s">
        <v>125</v>
      </c>
      <c r="B125" s="1">
        <v>101.19514792</v>
      </c>
      <c r="C125" s="1">
        <v>12967.716</v>
      </c>
      <c r="D125" s="2">
        <v>601.9799999999999</v>
      </c>
      <c r="E125" s="2">
        <v>227.83799999999999</v>
      </c>
      <c r="F125" s="2">
        <v>10.540999999999999</v>
      </c>
      <c r="G125" s="2">
        <v>14.858999999999998</v>
      </c>
      <c r="H125" s="2">
        <v>27.686</v>
      </c>
      <c r="I125" s="2">
        <v>36.512499999999996</v>
      </c>
      <c r="J125" s="2">
        <v>761703508.84799993</v>
      </c>
      <c r="K125" s="2">
        <v>2900510.3279999997</v>
      </c>
      <c r="L125" s="2">
        <v>2523607.8559999997</v>
      </c>
      <c r="M125" s="2">
        <v>242.57</v>
      </c>
      <c r="N125" s="2">
        <v>29302692.362239998</v>
      </c>
      <c r="O125" s="1">
        <v>401483.06799999997</v>
      </c>
      <c r="P125" s="2">
        <v>257276.90479999996</v>
      </c>
      <c r="Q125" s="2">
        <v>47.497999999999998</v>
      </c>
      <c r="R125" s="1">
        <v>778352.76587200002</v>
      </c>
      <c r="S125" s="1">
        <v>2532293221473.105</v>
      </c>
      <c r="T125" s="1">
        <v>33419.287999999993</v>
      </c>
      <c r="U125" s="2">
        <v>28303736.940799996</v>
      </c>
      <c r="V125" s="2">
        <v>473586.14959999995</v>
      </c>
      <c r="W125" s="1">
        <v>87</v>
      </c>
      <c r="X125" s="2">
        <v>1425674.568</v>
      </c>
      <c r="Y125" s="2">
        <v>58.419999999999995</v>
      </c>
      <c r="Z125" s="2">
        <v>586.74</v>
      </c>
      <c r="AA125" s="2">
        <v>1844.0399999999997</v>
      </c>
      <c r="AB125" s="2">
        <v>2072.64</v>
      </c>
      <c r="AC125" s="2">
        <v>1432.56</v>
      </c>
      <c r="AD125" s="2">
        <v>1658.62</v>
      </c>
      <c r="AE125" s="2">
        <v>508</v>
      </c>
      <c r="AF125" s="2">
        <v>139.69999999999999</v>
      </c>
      <c r="AG125" s="2"/>
    </row>
    <row r="126" spans="1:33" x14ac:dyDescent="0.25">
      <c r="A126" s="1" t="s">
        <v>126</v>
      </c>
      <c r="B126" s="1">
        <v>92.266164279999998</v>
      </c>
      <c r="C126" s="1">
        <v>11741.911999999998</v>
      </c>
      <c r="D126" s="2">
        <v>601.9799999999999</v>
      </c>
      <c r="E126" s="2">
        <v>178.816</v>
      </c>
      <c r="F126" s="2">
        <v>10.921999999999999</v>
      </c>
      <c r="G126" s="2">
        <v>14.985999999999999</v>
      </c>
      <c r="H126" s="2">
        <v>27.686</v>
      </c>
      <c r="I126" s="2">
        <v>26.987499999999997</v>
      </c>
      <c r="J126" s="2">
        <v>645158709.67999995</v>
      </c>
      <c r="K126" s="2">
        <v>2507220.7919999999</v>
      </c>
      <c r="L126" s="2">
        <v>2146705.3839999996</v>
      </c>
      <c r="M126" s="2">
        <v>234.44200000000001</v>
      </c>
      <c r="N126" s="2">
        <v>14359984.183199998</v>
      </c>
      <c r="O126" s="1">
        <v>257276.90479999996</v>
      </c>
      <c r="P126" s="2">
        <v>160593.22719999999</v>
      </c>
      <c r="Q126" s="2">
        <v>35.051999999999992</v>
      </c>
      <c r="R126" s="1">
        <v>711755.73777599994</v>
      </c>
      <c r="S126" s="1">
        <v>1240635703415.2434</v>
      </c>
      <c r="T126" s="1">
        <v>26258.011999999999</v>
      </c>
      <c r="U126" s="2">
        <v>17564966.160319999</v>
      </c>
      <c r="V126" s="2">
        <v>368708.93999999994</v>
      </c>
      <c r="W126" s="1">
        <v>75.3</v>
      </c>
      <c r="X126" s="2">
        <v>1233945.9191999999</v>
      </c>
      <c r="Y126" s="2">
        <v>44.449999999999996</v>
      </c>
      <c r="Z126" s="2">
        <v>586.74</v>
      </c>
      <c r="AA126" s="2">
        <v>1696.7199999999998</v>
      </c>
      <c r="AB126" s="2">
        <v>1874.5199999999998</v>
      </c>
      <c r="AC126" s="2">
        <v>1381.76</v>
      </c>
      <c r="AD126" s="2">
        <v>1562.1</v>
      </c>
      <c r="AE126" s="2">
        <v>527.04999999999995</v>
      </c>
      <c r="AF126" s="2">
        <v>88.899999999999991</v>
      </c>
      <c r="AG126" s="2"/>
    </row>
    <row r="127" spans="1:33" x14ac:dyDescent="0.25">
      <c r="A127" s="1" t="s">
        <v>127</v>
      </c>
      <c r="B127" s="1">
        <v>81.849016699999993</v>
      </c>
      <c r="C127" s="1">
        <v>10451.591999999999</v>
      </c>
      <c r="D127" s="2">
        <v>599.44000000000005</v>
      </c>
      <c r="E127" s="2">
        <v>178.05399999999997</v>
      </c>
      <c r="F127" s="2">
        <v>10.032999999999999</v>
      </c>
      <c r="G127" s="2">
        <v>12.827</v>
      </c>
      <c r="H127" s="2">
        <v>25.654</v>
      </c>
      <c r="I127" s="2">
        <v>25.4</v>
      </c>
      <c r="J127" s="2">
        <v>561912424.55999994</v>
      </c>
      <c r="K127" s="2">
        <v>2195866.5759999999</v>
      </c>
      <c r="L127" s="2">
        <v>1868125.2959999999</v>
      </c>
      <c r="M127" s="2">
        <v>231.39399999999998</v>
      </c>
      <c r="N127" s="2">
        <v>12112334.484959999</v>
      </c>
      <c r="O127" s="1">
        <v>217947.95119999998</v>
      </c>
      <c r="P127" s="2">
        <v>136012.6312</v>
      </c>
      <c r="Q127" s="2">
        <v>34.036000000000001</v>
      </c>
      <c r="R127" s="1">
        <v>491153.08220799995</v>
      </c>
      <c r="S127" s="1">
        <v>1039233803510.1715</v>
      </c>
      <c r="T127" s="1">
        <v>26128.98</v>
      </c>
      <c r="U127" s="2">
        <v>14901085.036479997</v>
      </c>
      <c r="V127" s="2">
        <v>316270.33519999997</v>
      </c>
      <c r="W127" s="1">
        <v>66.099999999999994</v>
      </c>
      <c r="X127" s="2">
        <v>1083184.9303999997</v>
      </c>
      <c r="Y127" s="2">
        <v>43.687999999999995</v>
      </c>
      <c r="Z127" s="2">
        <v>586.74</v>
      </c>
      <c r="AA127" s="2">
        <v>1691.6399999999999</v>
      </c>
      <c r="AB127" s="2">
        <v>1869.4399999999998</v>
      </c>
      <c r="AC127" s="2">
        <v>1376.68</v>
      </c>
      <c r="AD127" s="2">
        <v>1554.48</v>
      </c>
      <c r="AE127" s="2">
        <v>527.04999999999995</v>
      </c>
      <c r="AF127" s="2">
        <v>88.899999999999991</v>
      </c>
      <c r="AG127" s="2"/>
    </row>
    <row r="128" spans="1:33" x14ac:dyDescent="0.25">
      <c r="A128" s="1" t="s">
        <v>128</v>
      </c>
      <c r="B128" s="1">
        <v>409.24508349999996</v>
      </c>
      <c r="C128" s="1">
        <v>52774.087999999996</v>
      </c>
      <c r="D128" s="2">
        <v>612.14</v>
      </c>
      <c r="E128" s="2">
        <v>327.65999999999997</v>
      </c>
      <c r="F128" s="2">
        <v>30.987999999999996</v>
      </c>
      <c r="G128" s="2">
        <v>55.625999999999998</v>
      </c>
      <c r="H128" s="2">
        <v>85.597999999999999</v>
      </c>
      <c r="I128" s="2">
        <v>46.037499999999994</v>
      </c>
      <c r="J128" s="2">
        <v>3200819662.8639998</v>
      </c>
      <c r="K128" s="2">
        <v>12273910.935999999</v>
      </c>
      <c r="L128" s="2">
        <v>10454946.831999999</v>
      </c>
      <c r="M128" s="2">
        <v>246.37999999999997</v>
      </c>
      <c r="N128" s="2">
        <v>327574131.94719994</v>
      </c>
      <c r="O128" s="1">
        <v>3129929.2239999999</v>
      </c>
      <c r="P128" s="2">
        <v>1999221.8079999997</v>
      </c>
      <c r="Q128" s="2">
        <v>78.739999999999995</v>
      </c>
      <c r="R128" s="1">
        <v>44536762.539199993</v>
      </c>
      <c r="S128" s="1">
        <v>25349785801385.063</v>
      </c>
      <c r="T128" s="1">
        <v>45612.811999999998</v>
      </c>
      <c r="U128" s="2">
        <v>207699481.37439999</v>
      </c>
      <c r="V128" s="2">
        <v>2294188.96</v>
      </c>
      <c r="W128" s="1">
        <v>369</v>
      </c>
      <c r="X128" s="2">
        <v>6046826.6159999995</v>
      </c>
      <c r="Y128" s="2">
        <v>93.471999999999994</v>
      </c>
      <c r="Z128" s="2">
        <v>556.25999999999988</v>
      </c>
      <c r="AA128" s="2">
        <v>2092.96</v>
      </c>
      <c r="AB128" s="2">
        <v>2420.62</v>
      </c>
      <c r="AC128" s="2">
        <v>1551.94</v>
      </c>
      <c r="AD128" s="2">
        <v>1879.6</v>
      </c>
      <c r="AE128" s="2">
        <v>438.15</v>
      </c>
      <c r="AF128" s="2">
        <v>139.69999999999999</v>
      </c>
      <c r="AG128" s="2"/>
    </row>
    <row r="129" spans="1:33" x14ac:dyDescent="0.25">
      <c r="A129" s="1" t="s">
        <v>129</v>
      </c>
      <c r="B129" s="1">
        <v>369.06465711999999</v>
      </c>
      <c r="C129" s="1">
        <v>47612.807999999997</v>
      </c>
      <c r="D129" s="2">
        <v>601.9799999999999</v>
      </c>
      <c r="E129" s="2">
        <v>325.12</v>
      </c>
      <c r="F129" s="2">
        <v>27.94</v>
      </c>
      <c r="G129" s="2">
        <v>50.545999999999999</v>
      </c>
      <c r="H129" s="2">
        <v>80.518000000000001</v>
      </c>
      <c r="I129" s="2">
        <v>44.449999999999996</v>
      </c>
      <c r="J129" s="2">
        <v>2842860636.8479996</v>
      </c>
      <c r="K129" s="2">
        <v>10995719.943999998</v>
      </c>
      <c r="L129" s="2">
        <v>9438948.8640000001</v>
      </c>
      <c r="M129" s="2">
        <v>244.34799999999996</v>
      </c>
      <c r="N129" s="2">
        <v>290945766.49439996</v>
      </c>
      <c r="O129" s="1">
        <v>2785800.88</v>
      </c>
      <c r="P129" s="2">
        <v>1786189.9759999998</v>
      </c>
      <c r="Q129" s="2">
        <v>78.231999999999999</v>
      </c>
      <c r="R129" s="1">
        <v>33589876.045919999</v>
      </c>
      <c r="S129" s="1">
        <v>22127355402903.91</v>
      </c>
      <c r="T129" s="1">
        <v>44838.619999999995</v>
      </c>
      <c r="U129" s="2">
        <v>183974290.11519998</v>
      </c>
      <c r="V129" s="2">
        <v>2064770.0639999998</v>
      </c>
      <c r="W129" s="1">
        <v>330</v>
      </c>
      <c r="X129" s="2">
        <v>5407731.1199999992</v>
      </c>
      <c r="Y129" s="2">
        <v>92.201999999999998</v>
      </c>
      <c r="Z129" s="2">
        <v>551.17999999999995</v>
      </c>
      <c r="AA129" s="2">
        <v>2072.64</v>
      </c>
      <c r="AB129" s="2">
        <v>2397.7600000000002</v>
      </c>
      <c r="AC129" s="2">
        <v>1529.08</v>
      </c>
      <c r="AD129" s="2">
        <v>1854.1999999999998</v>
      </c>
      <c r="AE129" s="2">
        <v>438.15</v>
      </c>
      <c r="AF129" s="2">
        <v>139.69999999999999</v>
      </c>
      <c r="AG129" s="2"/>
    </row>
    <row r="130" spans="1:33" x14ac:dyDescent="0.25">
      <c r="A130" s="1" t="s">
        <v>130</v>
      </c>
      <c r="B130" s="1">
        <v>331.86055862000001</v>
      </c>
      <c r="C130" s="1">
        <v>42903.14</v>
      </c>
      <c r="D130" s="2">
        <v>594.3599999999999</v>
      </c>
      <c r="E130" s="2">
        <v>322.58</v>
      </c>
      <c r="F130" s="2">
        <v>25.4</v>
      </c>
      <c r="G130" s="2">
        <v>45.466000000000001</v>
      </c>
      <c r="H130" s="2">
        <v>75.438000000000002</v>
      </c>
      <c r="I130" s="2">
        <v>42.862499999999997</v>
      </c>
      <c r="J130" s="2">
        <v>2530687067.6479998</v>
      </c>
      <c r="K130" s="2">
        <v>9848625.4639999997</v>
      </c>
      <c r="L130" s="2">
        <v>8521273.2799999993</v>
      </c>
      <c r="M130" s="2">
        <v>242.82400000000001</v>
      </c>
      <c r="N130" s="2">
        <v>255566095.31839997</v>
      </c>
      <c r="O130" s="1">
        <v>2458059.5999999996</v>
      </c>
      <c r="P130" s="2">
        <v>1584629.0887999998</v>
      </c>
      <c r="Q130" s="2">
        <v>77.215999999999994</v>
      </c>
      <c r="R130" s="1">
        <v>24765769.823199999</v>
      </c>
      <c r="S130" s="1">
        <v>19254021630924.883</v>
      </c>
      <c r="T130" s="1">
        <v>44257.975999999995</v>
      </c>
      <c r="U130" s="2">
        <v>162330255.984</v>
      </c>
      <c r="V130" s="2">
        <v>1851738.2319999998</v>
      </c>
      <c r="W130" s="1">
        <v>295</v>
      </c>
      <c r="X130" s="2">
        <v>4834183.88</v>
      </c>
      <c r="Y130" s="2">
        <v>90.677999999999997</v>
      </c>
      <c r="Z130" s="2">
        <v>548.64</v>
      </c>
      <c r="AA130" s="2">
        <v>2054.86</v>
      </c>
      <c r="AB130" s="2">
        <v>2377.4399999999996</v>
      </c>
      <c r="AC130" s="2">
        <v>1511.3</v>
      </c>
      <c r="AD130" s="2">
        <v>1833.8799999999999</v>
      </c>
      <c r="AE130" s="2">
        <v>438.15</v>
      </c>
      <c r="AF130" s="2">
        <v>139.69999999999999</v>
      </c>
      <c r="AG130" s="2"/>
    </row>
    <row r="131" spans="1:33" x14ac:dyDescent="0.25">
      <c r="A131" s="1" t="s">
        <v>131</v>
      </c>
      <c r="B131" s="1">
        <v>299.12095194</v>
      </c>
      <c r="C131" s="1">
        <v>38257.987999999998</v>
      </c>
      <c r="D131" s="2">
        <v>584.19999999999993</v>
      </c>
      <c r="E131" s="2">
        <v>320.03999999999996</v>
      </c>
      <c r="F131" s="2">
        <v>23.114000000000001</v>
      </c>
      <c r="G131" s="2">
        <v>41.401999999999994</v>
      </c>
      <c r="H131" s="2">
        <v>54.101999999999997</v>
      </c>
      <c r="I131" s="2">
        <v>42.862499999999997</v>
      </c>
      <c r="J131" s="2">
        <v>2210188869.9359999</v>
      </c>
      <c r="K131" s="2">
        <v>8685143.9199999999</v>
      </c>
      <c r="L131" s="2">
        <v>7554436.5039999997</v>
      </c>
      <c r="M131" s="2">
        <v>240.53800000000001</v>
      </c>
      <c r="N131" s="2">
        <v>225597432.67519999</v>
      </c>
      <c r="O131" s="1">
        <v>2179479.5119999996</v>
      </c>
      <c r="P131" s="2">
        <v>1410926.2103999997</v>
      </c>
      <c r="Q131" s="2">
        <v>76.707999999999998</v>
      </c>
      <c r="R131" s="1">
        <v>17023865.307039998</v>
      </c>
      <c r="S131" s="1">
        <v>16649223725485.951</v>
      </c>
      <c r="T131" s="1">
        <v>43419.267999999996</v>
      </c>
      <c r="U131" s="2">
        <v>144016073.25759998</v>
      </c>
      <c r="V131" s="2">
        <v>1671480.5279999999</v>
      </c>
      <c r="W131" s="1">
        <v>264</v>
      </c>
      <c r="X131" s="2">
        <v>4326184.8959999997</v>
      </c>
      <c r="Y131" s="2">
        <v>90.169999999999987</v>
      </c>
      <c r="Z131" s="2">
        <v>543.55999999999995</v>
      </c>
      <c r="AA131" s="2">
        <v>2059.9399999999996</v>
      </c>
      <c r="AB131" s="2">
        <v>2379.98</v>
      </c>
      <c r="AC131" s="2">
        <v>1488.44</v>
      </c>
      <c r="AD131" s="2">
        <v>1808.48</v>
      </c>
      <c r="AE131" s="2">
        <v>438.15</v>
      </c>
      <c r="AF131" s="2">
        <v>139.69999999999999</v>
      </c>
      <c r="AG131" s="2"/>
    </row>
    <row r="132" spans="1:33" x14ac:dyDescent="0.25">
      <c r="A132" s="1" t="s">
        <v>132</v>
      </c>
      <c r="B132" s="1">
        <v>270.84583707999997</v>
      </c>
      <c r="C132" s="1">
        <v>34580.576000000001</v>
      </c>
      <c r="D132" s="2">
        <v>576.57999999999993</v>
      </c>
      <c r="E132" s="2">
        <v>317.5</v>
      </c>
      <c r="F132" s="2">
        <v>21.081999999999997</v>
      </c>
      <c r="G132" s="2">
        <v>37.591999999999999</v>
      </c>
      <c r="H132" s="2">
        <v>50.291999999999994</v>
      </c>
      <c r="I132" s="2">
        <v>41.274999999999999</v>
      </c>
      <c r="J132" s="2">
        <v>1968774643.0879998</v>
      </c>
      <c r="K132" s="2">
        <v>7800242.4639999997</v>
      </c>
      <c r="L132" s="2">
        <v>6833405.6879999992</v>
      </c>
      <c r="M132" s="2">
        <v>238.76</v>
      </c>
      <c r="N132" s="2">
        <v>201039778.56479999</v>
      </c>
      <c r="O132" s="1">
        <v>1950060.6159999999</v>
      </c>
      <c r="P132" s="2">
        <v>1265081.3407999999</v>
      </c>
      <c r="Q132" s="2">
        <v>76.199999999999989</v>
      </c>
      <c r="R132" s="1">
        <v>12778304.765919998</v>
      </c>
      <c r="S132" s="1">
        <v>14608351139781.221</v>
      </c>
      <c r="T132" s="1">
        <v>42774.107999999993</v>
      </c>
      <c r="U132" s="2">
        <v>127783047.65919998</v>
      </c>
      <c r="V132" s="2">
        <v>1501055.0623999997</v>
      </c>
      <c r="W132" s="1">
        <v>237</v>
      </c>
      <c r="X132" s="2">
        <v>3883734.1679999996</v>
      </c>
      <c r="Y132" s="2">
        <v>89.153999999999996</v>
      </c>
      <c r="Z132" s="2">
        <v>538.4799999999999</v>
      </c>
      <c r="AA132" s="2">
        <v>2042.16</v>
      </c>
      <c r="AB132" s="2">
        <v>2359.66</v>
      </c>
      <c r="AC132" s="2">
        <v>1470.6599999999999</v>
      </c>
      <c r="AD132" s="2">
        <v>1788.16</v>
      </c>
      <c r="AE132" s="2">
        <v>438.15</v>
      </c>
      <c r="AF132" s="2">
        <v>139.69999999999999</v>
      </c>
      <c r="AG132" s="2"/>
    </row>
    <row r="133" spans="1:33" x14ac:dyDescent="0.25">
      <c r="A133" s="1" t="s">
        <v>133</v>
      </c>
      <c r="B133" s="1">
        <v>247.03521404</v>
      </c>
      <c r="C133" s="1">
        <v>31483.807999999997</v>
      </c>
      <c r="D133" s="2">
        <v>571.5</v>
      </c>
      <c r="E133" s="2">
        <v>314.95999999999998</v>
      </c>
      <c r="F133" s="2">
        <v>19.049999999999997</v>
      </c>
      <c r="G133" s="2">
        <v>34.544000000000004</v>
      </c>
      <c r="H133" s="2">
        <v>47.244</v>
      </c>
      <c r="I133" s="2">
        <v>39.6875</v>
      </c>
      <c r="J133" s="2">
        <v>1781470501.5679998</v>
      </c>
      <c r="K133" s="2">
        <v>7079211.6479999991</v>
      </c>
      <c r="L133" s="2">
        <v>6227084.3199999994</v>
      </c>
      <c r="M133" s="2">
        <v>237.74399999999997</v>
      </c>
      <c r="N133" s="2">
        <v>181060670.13599998</v>
      </c>
      <c r="O133" s="1">
        <v>1769802.9119999998</v>
      </c>
      <c r="P133" s="2">
        <v>1147094.48</v>
      </c>
      <c r="Q133" s="2">
        <v>75.945999999999998</v>
      </c>
      <c r="R133" s="1">
        <v>9823061.6441599987</v>
      </c>
      <c r="S133" s="1">
        <v>13023989527194.654</v>
      </c>
      <c r="T133" s="1">
        <v>42257.979999999996</v>
      </c>
      <c r="U133" s="2">
        <v>114879873.46559998</v>
      </c>
      <c r="V133" s="2">
        <v>1371597.2567999999</v>
      </c>
      <c r="W133" s="1">
        <v>215</v>
      </c>
      <c r="X133" s="2">
        <v>3523218.76</v>
      </c>
      <c r="Y133" s="2">
        <v>88.391999999999996</v>
      </c>
      <c r="Z133" s="2">
        <v>535.94000000000005</v>
      </c>
      <c r="AA133" s="2">
        <v>2026.9199999999998</v>
      </c>
      <c r="AB133" s="2">
        <v>2341.88</v>
      </c>
      <c r="AC133" s="2">
        <v>1457.9599999999998</v>
      </c>
      <c r="AD133" s="2">
        <v>1772.9199999999998</v>
      </c>
      <c r="AE133" s="2">
        <v>438.15</v>
      </c>
      <c r="AF133" s="2">
        <v>139.69999999999999</v>
      </c>
      <c r="AG133" s="2"/>
    </row>
    <row r="134" spans="1:33" x14ac:dyDescent="0.25">
      <c r="A134" s="1" t="s">
        <v>134</v>
      </c>
      <c r="B134" s="1">
        <v>218.76009918</v>
      </c>
      <c r="C134" s="1">
        <v>27870.912</v>
      </c>
      <c r="D134" s="2">
        <v>561.34</v>
      </c>
      <c r="E134" s="2">
        <v>317.5</v>
      </c>
      <c r="F134" s="2">
        <v>18.287999999999997</v>
      </c>
      <c r="G134" s="2">
        <v>29.209999999999997</v>
      </c>
      <c r="H134" s="2">
        <v>41.91</v>
      </c>
      <c r="I134" s="2">
        <v>39.6875</v>
      </c>
      <c r="J134" s="2">
        <v>1510920074.9279997</v>
      </c>
      <c r="K134" s="2">
        <v>6112374.8719999995</v>
      </c>
      <c r="L134" s="2">
        <v>5391344.0559999999</v>
      </c>
      <c r="M134" s="2">
        <v>232.91799999999998</v>
      </c>
      <c r="N134" s="2">
        <v>156503016.02559999</v>
      </c>
      <c r="O134" s="1">
        <v>1517442.1263999997</v>
      </c>
      <c r="P134" s="2">
        <v>984862.54639999988</v>
      </c>
      <c r="Q134" s="2">
        <v>74.930000000000007</v>
      </c>
      <c r="R134" s="1">
        <v>6409963.9542399999</v>
      </c>
      <c r="S134" s="1">
        <v>11036824114797.945</v>
      </c>
      <c r="T134" s="1">
        <v>42257.979999999996</v>
      </c>
      <c r="U134" s="2">
        <v>97814385.015999988</v>
      </c>
      <c r="V134" s="2">
        <v>1163481.544</v>
      </c>
      <c r="W134" s="1">
        <v>186</v>
      </c>
      <c r="X134" s="2">
        <v>3047993.9039999996</v>
      </c>
      <c r="Y134" s="2">
        <v>87.884</v>
      </c>
      <c r="Z134" s="2">
        <v>533.4</v>
      </c>
      <c r="AA134" s="2">
        <v>2016.76</v>
      </c>
      <c r="AB134" s="2">
        <v>2334.2600000000002</v>
      </c>
      <c r="AC134" s="2">
        <v>1440.18</v>
      </c>
      <c r="AD134" s="2">
        <v>1757.68</v>
      </c>
      <c r="AE134" s="2">
        <v>438.15</v>
      </c>
      <c r="AF134" s="2">
        <v>139.69999999999999</v>
      </c>
      <c r="AG134" s="2"/>
    </row>
    <row r="135" spans="1:33" x14ac:dyDescent="0.25">
      <c r="A135" s="1" t="s">
        <v>135</v>
      </c>
      <c r="B135" s="1">
        <v>196.43764007999999</v>
      </c>
      <c r="C135" s="1">
        <v>25032.207999999999</v>
      </c>
      <c r="D135" s="2">
        <v>553.72</v>
      </c>
      <c r="E135" s="2">
        <v>314.95999999999998</v>
      </c>
      <c r="F135" s="2">
        <v>16.509999999999998</v>
      </c>
      <c r="G135" s="2">
        <v>26.416</v>
      </c>
      <c r="H135" s="2">
        <v>39.116</v>
      </c>
      <c r="I135" s="2">
        <v>39.6875</v>
      </c>
      <c r="J135" s="2">
        <v>1340265190.4319999</v>
      </c>
      <c r="K135" s="2">
        <v>5456892.3119999999</v>
      </c>
      <c r="L135" s="2">
        <v>4834183.88</v>
      </c>
      <c r="M135" s="2">
        <v>231.64799999999997</v>
      </c>
      <c r="N135" s="2">
        <v>138605064.72479999</v>
      </c>
      <c r="O135" s="1">
        <v>1348655.3671999997</v>
      </c>
      <c r="P135" s="2">
        <v>876707.92399999988</v>
      </c>
      <c r="Q135" s="2">
        <v>74.421999999999997</v>
      </c>
      <c r="R135" s="1">
        <v>4703415.1092799995</v>
      </c>
      <c r="S135" s="1">
        <v>9667291195443.4551</v>
      </c>
      <c r="T135" s="1">
        <v>41548.304000000004</v>
      </c>
      <c r="U135" s="2">
        <v>85743673.673599988</v>
      </c>
      <c r="V135" s="2">
        <v>1029107.6191999998</v>
      </c>
      <c r="W135" s="1">
        <v>164</v>
      </c>
      <c r="X135" s="2">
        <v>2687478.4959999998</v>
      </c>
      <c r="Y135" s="2">
        <v>87.122</v>
      </c>
      <c r="Z135" s="2">
        <v>528.31999999999994</v>
      </c>
      <c r="AA135" s="2">
        <v>1996.4399999999998</v>
      </c>
      <c r="AB135" s="2">
        <v>2311.4</v>
      </c>
      <c r="AC135" s="2">
        <v>1422.3999999999999</v>
      </c>
      <c r="AD135" s="2">
        <v>1737.3600000000001</v>
      </c>
      <c r="AE135" s="2">
        <v>438.15</v>
      </c>
      <c r="AF135" s="2">
        <v>139.69999999999999</v>
      </c>
      <c r="AG135" s="2"/>
    </row>
    <row r="136" spans="1:33" x14ac:dyDescent="0.25">
      <c r="A136" s="1" t="s">
        <v>136</v>
      </c>
      <c r="B136" s="1">
        <v>181.55600067999998</v>
      </c>
      <c r="C136" s="1">
        <v>23161.243999999999</v>
      </c>
      <c r="D136" s="2">
        <v>551.17999999999995</v>
      </c>
      <c r="E136" s="2">
        <v>314.95999999999998</v>
      </c>
      <c r="F136" s="2">
        <v>15.239999999999998</v>
      </c>
      <c r="G136" s="2">
        <v>24.383999999999997</v>
      </c>
      <c r="H136" s="2">
        <v>37.083999999999996</v>
      </c>
      <c r="I136" s="2">
        <v>38.099999999999994</v>
      </c>
      <c r="J136" s="2">
        <v>1232045019.7759998</v>
      </c>
      <c r="K136" s="2">
        <v>5030828.6479999991</v>
      </c>
      <c r="L136" s="2">
        <v>4473668.4719999991</v>
      </c>
      <c r="M136" s="2">
        <v>230.886</v>
      </c>
      <c r="N136" s="2">
        <v>126950584.80799998</v>
      </c>
      <c r="O136" s="1">
        <v>1238862.0383999997</v>
      </c>
      <c r="P136" s="2">
        <v>806243.54879999999</v>
      </c>
      <c r="Q136" s="2">
        <v>74.167999999999992</v>
      </c>
      <c r="R136" s="1">
        <v>3737758.2018879997</v>
      </c>
      <c r="S136" s="1">
        <v>8781122835861.1387</v>
      </c>
      <c r="T136" s="1">
        <v>41483.787999999993</v>
      </c>
      <c r="U136" s="2">
        <v>79500202.289599985</v>
      </c>
      <c r="V136" s="2">
        <v>961920.6568</v>
      </c>
      <c r="W136" s="1">
        <v>153</v>
      </c>
      <c r="X136" s="2">
        <v>2507220.7919999999</v>
      </c>
      <c r="Y136" s="2">
        <v>86.36</v>
      </c>
      <c r="Z136" s="2">
        <v>525.78</v>
      </c>
      <c r="AA136" s="2">
        <v>1993.8999999999999</v>
      </c>
      <c r="AB136" s="2">
        <v>2308.86</v>
      </c>
      <c r="AC136" s="2">
        <v>1417.32</v>
      </c>
      <c r="AD136" s="2">
        <v>1732.28</v>
      </c>
      <c r="AE136" s="2">
        <v>438.15</v>
      </c>
      <c r="AF136" s="2">
        <v>139.69999999999999</v>
      </c>
      <c r="AG136" s="2"/>
    </row>
    <row r="137" spans="1:33" x14ac:dyDescent="0.25">
      <c r="A137" s="1" t="s">
        <v>137</v>
      </c>
      <c r="B137" s="1">
        <v>165.18619734000001</v>
      </c>
      <c r="C137" s="1">
        <v>21032.216</v>
      </c>
      <c r="D137" s="2">
        <v>546.1</v>
      </c>
      <c r="E137" s="2">
        <v>312.42</v>
      </c>
      <c r="F137" s="2">
        <v>13.97</v>
      </c>
      <c r="G137" s="2">
        <v>22.224999999999998</v>
      </c>
      <c r="H137" s="2">
        <v>35.051999999999992</v>
      </c>
      <c r="I137" s="2">
        <v>38.099999999999994</v>
      </c>
      <c r="J137" s="2">
        <v>1111337906.352</v>
      </c>
      <c r="K137" s="2">
        <v>4571990.8559999997</v>
      </c>
      <c r="L137" s="2">
        <v>4080378.9359999998</v>
      </c>
      <c r="M137" s="2">
        <v>229.87</v>
      </c>
      <c r="N137" s="2">
        <v>114047410.61439998</v>
      </c>
      <c r="O137" s="1">
        <v>1117597.7648</v>
      </c>
      <c r="P137" s="2">
        <v>729224.34799999988</v>
      </c>
      <c r="Q137" s="2">
        <v>73.66</v>
      </c>
      <c r="R137" s="1">
        <v>2842860.6368479999</v>
      </c>
      <c r="S137" s="1">
        <v>7841247302970.8027</v>
      </c>
      <c r="T137" s="1">
        <v>40903.144</v>
      </c>
      <c r="U137" s="2">
        <v>71175573.77759999</v>
      </c>
      <c r="V137" s="2">
        <v>868514.39199999988</v>
      </c>
      <c r="W137" s="1">
        <v>138</v>
      </c>
      <c r="X137" s="2">
        <v>2261414.8319999999</v>
      </c>
      <c r="Y137" s="2">
        <v>85.597999999999999</v>
      </c>
      <c r="Z137" s="2">
        <v>523.24</v>
      </c>
      <c r="AA137" s="2">
        <v>1978.66</v>
      </c>
      <c r="AB137" s="2">
        <v>2291.08</v>
      </c>
      <c r="AC137" s="2">
        <v>1404.62</v>
      </c>
      <c r="AD137" s="2">
        <v>1717.0399999999997</v>
      </c>
      <c r="AE137" s="2">
        <v>438.15</v>
      </c>
      <c r="AF137" s="2">
        <v>139.69999999999999</v>
      </c>
      <c r="AG137" s="2"/>
    </row>
    <row r="138" spans="1:33" x14ac:dyDescent="0.25">
      <c r="A138" s="1" t="s">
        <v>138</v>
      </c>
      <c r="B138" s="1">
        <v>150.30455794</v>
      </c>
      <c r="C138" s="1">
        <v>19225.768</v>
      </c>
      <c r="D138" s="2">
        <v>543.55999999999995</v>
      </c>
      <c r="E138" s="2">
        <v>312.42</v>
      </c>
      <c r="F138" s="2">
        <v>12.7</v>
      </c>
      <c r="G138" s="2">
        <v>20.32</v>
      </c>
      <c r="H138" s="2">
        <v>33.019999999999996</v>
      </c>
      <c r="I138" s="2">
        <v>36.512499999999996</v>
      </c>
      <c r="J138" s="2">
        <v>1007280049.9519999</v>
      </c>
      <c r="K138" s="2">
        <v>4145927.1919999998</v>
      </c>
      <c r="L138" s="2">
        <v>3719863.5279999995</v>
      </c>
      <c r="M138" s="2">
        <v>229.10799999999998</v>
      </c>
      <c r="N138" s="2">
        <v>103225393.54879999</v>
      </c>
      <c r="O138" s="1">
        <v>1011081.8487999999</v>
      </c>
      <c r="P138" s="2">
        <v>660398.6791999999</v>
      </c>
      <c r="Q138" s="2">
        <v>73.406000000000006</v>
      </c>
      <c r="R138" s="1">
        <v>2168565.7273759996</v>
      </c>
      <c r="S138" s="1">
        <v>7035639703350.5146</v>
      </c>
      <c r="T138" s="1">
        <v>40838.627999999997</v>
      </c>
      <c r="U138" s="2">
        <v>64932102.393599994</v>
      </c>
      <c r="V138" s="2">
        <v>796411.31039999996</v>
      </c>
      <c r="W138" s="1">
        <v>126</v>
      </c>
      <c r="X138" s="2">
        <v>2064770.0639999998</v>
      </c>
      <c r="Y138" s="2">
        <v>85.09</v>
      </c>
      <c r="Z138" s="2">
        <v>523.24</v>
      </c>
      <c r="AA138" s="2">
        <v>1976.12</v>
      </c>
      <c r="AB138" s="2">
        <v>2288.5399999999995</v>
      </c>
      <c r="AC138" s="2">
        <v>1399.54</v>
      </c>
      <c r="AD138" s="2">
        <v>1711.96</v>
      </c>
      <c r="AE138" s="2">
        <v>438.15</v>
      </c>
      <c r="AF138" s="2">
        <v>139.69999999999999</v>
      </c>
      <c r="AG138" s="2"/>
    </row>
    <row r="139" spans="1:33" x14ac:dyDescent="0.25">
      <c r="A139" s="1" t="s">
        <v>139</v>
      </c>
      <c r="B139" s="1">
        <v>138.39924642</v>
      </c>
      <c r="C139" s="1">
        <v>17612.867999999999</v>
      </c>
      <c r="D139" s="2">
        <v>548.64</v>
      </c>
      <c r="E139" s="2">
        <v>213.86799999999999</v>
      </c>
      <c r="F139" s="2">
        <v>14.731999999999998</v>
      </c>
      <c r="G139" s="2">
        <v>23.622</v>
      </c>
      <c r="H139" s="2">
        <v>36.321999999999996</v>
      </c>
      <c r="I139" s="2">
        <v>23.8125</v>
      </c>
      <c r="J139" s="2">
        <v>861599050.99199986</v>
      </c>
      <c r="K139" s="2">
        <v>3621541.1439999999</v>
      </c>
      <c r="L139" s="2">
        <v>3146316.2879999997</v>
      </c>
      <c r="M139" s="2">
        <v>220.97999999999996</v>
      </c>
      <c r="N139" s="2">
        <v>38667899.438239999</v>
      </c>
      <c r="O139" s="1">
        <v>568631.12080000003</v>
      </c>
      <c r="P139" s="2">
        <v>362154.11439999996</v>
      </c>
      <c r="Q139" s="2">
        <v>46.735999999999997</v>
      </c>
      <c r="R139" s="1">
        <v>2509875.4963679998</v>
      </c>
      <c r="S139" s="1">
        <v>2669246513408.5542</v>
      </c>
      <c r="T139" s="1">
        <v>28064.46</v>
      </c>
      <c r="U139" s="2">
        <v>35462917.461119995</v>
      </c>
      <c r="V139" s="2">
        <v>617792.31279999996</v>
      </c>
      <c r="W139" s="1">
        <v>109</v>
      </c>
      <c r="X139" s="2">
        <v>1786189.9759999998</v>
      </c>
      <c r="Y139" s="2">
        <v>56.896000000000001</v>
      </c>
      <c r="Z139" s="2">
        <v>525.78</v>
      </c>
      <c r="AA139" s="2">
        <v>1689.1</v>
      </c>
      <c r="AB139" s="2">
        <v>1902.46</v>
      </c>
      <c r="AC139" s="2">
        <v>1310.6399999999999</v>
      </c>
      <c r="AD139" s="2">
        <v>1524</v>
      </c>
      <c r="AE139" s="2">
        <v>466.72499999999997</v>
      </c>
      <c r="AF139" s="2">
        <v>139.69999999999999</v>
      </c>
      <c r="AG139" s="2"/>
    </row>
    <row r="140" spans="1:33" x14ac:dyDescent="0.25">
      <c r="A140" s="1" t="s">
        <v>140</v>
      </c>
      <c r="B140" s="1">
        <v>123.51760702</v>
      </c>
      <c r="C140" s="1">
        <v>15741.903999999999</v>
      </c>
      <c r="D140" s="2">
        <v>543.55999999999995</v>
      </c>
      <c r="E140" s="2">
        <v>212.34399999999997</v>
      </c>
      <c r="F140" s="2">
        <v>13.081</v>
      </c>
      <c r="G140" s="2">
        <v>21.209</v>
      </c>
      <c r="H140" s="2">
        <v>34.036000000000001</v>
      </c>
      <c r="I140" s="2">
        <v>22.224999999999998</v>
      </c>
      <c r="J140" s="2">
        <v>761703508.84799993</v>
      </c>
      <c r="K140" s="2">
        <v>3211864.5439999998</v>
      </c>
      <c r="L140" s="2">
        <v>2802187.9439999997</v>
      </c>
      <c r="M140" s="2">
        <v>220.21799999999999</v>
      </c>
      <c r="N140" s="2">
        <v>33881238.043839999</v>
      </c>
      <c r="O140" s="1">
        <v>499805.45199999993</v>
      </c>
      <c r="P140" s="2">
        <v>319547.74799999996</v>
      </c>
      <c r="Q140" s="2">
        <v>46.481999999999999</v>
      </c>
      <c r="R140" s="1">
        <v>1806444.3871039997</v>
      </c>
      <c r="S140" s="1">
        <v>2317464528241.0283</v>
      </c>
      <c r="T140" s="1">
        <v>27741.879999999997</v>
      </c>
      <c r="U140" s="2">
        <v>31217356.919999998</v>
      </c>
      <c r="V140" s="2">
        <v>552244.05680000002</v>
      </c>
      <c r="W140" s="1">
        <v>96.8</v>
      </c>
      <c r="X140" s="2">
        <v>1586267.7951999998</v>
      </c>
      <c r="Y140" s="2">
        <v>56.133999999999993</v>
      </c>
      <c r="Z140" s="2">
        <v>523.24</v>
      </c>
      <c r="AA140" s="2">
        <v>1676.3999999999999</v>
      </c>
      <c r="AB140" s="2">
        <v>1889.76</v>
      </c>
      <c r="AC140" s="2">
        <v>1300.48</v>
      </c>
      <c r="AD140" s="2">
        <v>1511.3</v>
      </c>
      <c r="AE140" s="2">
        <v>466.72499999999997</v>
      </c>
      <c r="AF140" s="2">
        <v>139.69999999999999</v>
      </c>
      <c r="AG140" s="2"/>
    </row>
    <row r="141" spans="1:33" x14ac:dyDescent="0.25">
      <c r="A141" s="1" t="s">
        <v>141</v>
      </c>
      <c r="B141" s="1">
        <v>108.63596762</v>
      </c>
      <c r="C141" s="1">
        <v>13870.939999999999</v>
      </c>
      <c r="D141" s="2">
        <v>538.4799999999999</v>
      </c>
      <c r="E141" s="2">
        <v>210.82</v>
      </c>
      <c r="F141" s="2">
        <v>11.557</v>
      </c>
      <c r="G141" s="2">
        <v>18.795999999999999</v>
      </c>
      <c r="H141" s="2">
        <v>31.495999999999999</v>
      </c>
      <c r="I141" s="2">
        <v>22.224999999999998</v>
      </c>
      <c r="J141" s="2">
        <v>665970280.95999992</v>
      </c>
      <c r="K141" s="2">
        <v>2818575.0079999999</v>
      </c>
      <c r="L141" s="2">
        <v>2474446.6639999999</v>
      </c>
      <c r="M141" s="2">
        <v>219.45599999999999</v>
      </c>
      <c r="N141" s="2">
        <v>29385938.647359993</v>
      </c>
      <c r="O141" s="1">
        <v>435895.90239999996</v>
      </c>
      <c r="P141" s="2">
        <v>278580.08799999999</v>
      </c>
      <c r="Q141" s="2">
        <v>45.973999999999997</v>
      </c>
      <c r="R141" s="1">
        <v>1257018.9053119998</v>
      </c>
      <c r="S141" s="1">
        <v>1989850771062.1113</v>
      </c>
      <c r="T141" s="1">
        <v>27419.3</v>
      </c>
      <c r="U141" s="2">
        <v>27138288.94912</v>
      </c>
      <c r="V141" s="2">
        <v>486695.80079999997</v>
      </c>
      <c r="W141" s="1">
        <v>85</v>
      </c>
      <c r="X141" s="2">
        <v>1392900.44</v>
      </c>
      <c r="Y141" s="2">
        <v>55.625999999999998</v>
      </c>
      <c r="Z141" s="2">
        <v>520.69999999999993</v>
      </c>
      <c r="AA141" s="2">
        <v>1663.6999999999998</v>
      </c>
      <c r="AB141" s="2">
        <v>1874.5199999999998</v>
      </c>
      <c r="AC141" s="2">
        <v>1287.78</v>
      </c>
      <c r="AD141" s="2">
        <v>1498.6</v>
      </c>
      <c r="AE141" s="2">
        <v>466.72499999999997</v>
      </c>
      <c r="AF141" s="2">
        <v>139.69999999999999</v>
      </c>
      <c r="AG141" s="2"/>
    </row>
    <row r="142" spans="1:33" x14ac:dyDescent="0.25">
      <c r="A142" s="1" t="s">
        <v>142</v>
      </c>
      <c r="B142" s="1">
        <v>101.19514792</v>
      </c>
      <c r="C142" s="1">
        <v>12903.199999999999</v>
      </c>
      <c r="D142" s="2">
        <v>535.94000000000005</v>
      </c>
      <c r="E142" s="2">
        <v>210.05799999999996</v>
      </c>
      <c r="F142" s="2">
        <v>10.921999999999999</v>
      </c>
      <c r="G142" s="2">
        <v>17.399000000000001</v>
      </c>
      <c r="H142" s="2">
        <v>30.225999999999996</v>
      </c>
      <c r="I142" s="2">
        <v>22.224999999999998</v>
      </c>
      <c r="J142" s="2">
        <v>616022509.88799989</v>
      </c>
      <c r="K142" s="2">
        <v>2621930.2399999998</v>
      </c>
      <c r="L142" s="2">
        <v>2294188.96</v>
      </c>
      <c r="M142" s="2">
        <v>218.43999999999997</v>
      </c>
      <c r="N142" s="2">
        <v>26930173.23632</v>
      </c>
      <c r="O142" s="1">
        <v>399844.36159999995</v>
      </c>
      <c r="P142" s="2">
        <v>257276.90479999996</v>
      </c>
      <c r="Q142" s="2">
        <v>45.72</v>
      </c>
      <c r="R142" s="1">
        <v>1019766.99272</v>
      </c>
      <c r="S142" s="1">
        <v>1815302457811.0488</v>
      </c>
      <c r="T142" s="1">
        <v>27225.752</v>
      </c>
      <c r="U142" s="2">
        <v>24890639.250879996</v>
      </c>
      <c r="V142" s="2">
        <v>449005.55359999993</v>
      </c>
      <c r="W142" s="1">
        <v>78.7</v>
      </c>
      <c r="X142" s="2">
        <v>1289661.9368</v>
      </c>
      <c r="Y142" s="2">
        <v>55.117999999999995</v>
      </c>
      <c r="Z142" s="2">
        <v>518.16</v>
      </c>
      <c r="AA142" s="2">
        <v>1658.62</v>
      </c>
      <c r="AB142" s="2">
        <v>1869.4399999999998</v>
      </c>
      <c r="AC142" s="2">
        <v>1282.6999999999998</v>
      </c>
      <c r="AD142" s="2">
        <v>1490.98</v>
      </c>
      <c r="AE142" s="2">
        <v>466.72499999999997</v>
      </c>
      <c r="AF142" s="2">
        <v>139.69999999999999</v>
      </c>
      <c r="AG142" s="2"/>
    </row>
    <row r="143" spans="1:33" x14ac:dyDescent="0.25">
      <c r="A143" s="1" t="s">
        <v>143</v>
      </c>
      <c r="B143" s="1">
        <v>92.266164279999998</v>
      </c>
      <c r="C143" s="1">
        <v>11806.428</v>
      </c>
      <c r="D143" s="2">
        <v>533.4</v>
      </c>
      <c r="E143" s="2">
        <v>209.29599999999999</v>
      </c>
      <c r="F143" s="2">
        <v>10.16</v>
      </c>
      <c r="G143" s="2">
        <v>15.620999999999999</v>
      </c>
      <c r="H143" s="2">
        <v>28.448</v>
      </c>
      <c r="I143" s="2">
        <v>20.637499999999999</v>
      </c>
      <c r="J143" s="2">
        <v>553587796.04799998</v>
      </c>
      <c r="K143" s="2">
        <v>2359737.216</v>
      </c>
      <c r="L143" s="2">
        <v>2081157.1279999998</v>
      </c>
      <c r="M143" s="2">
        <v>216.91599999999997</v>
      </c>
      <c r="N143" s="2">
        <v>23933306.971999999</v>
      </c>
      <c r="O143" s="1">
        <v>355599.28879999998</v>
      </c>
      <c r="P143" s="2">
        <v>229418.89599999998</v>
      </c>
      <c r="Q143" s="2">
        <v>44.957999999999998</v>
      </c>
      <c r="R143" s="1">
        <v>761703.50884799997</v>
      </c>
      <c r="S143" s="1">
        <v>1600473764578.9722</v>
      </c>
      <c r="T143" s="1">
        <v>27096.719999999998</v>
      </c>
      <c r="U143" s="2">
        <v>22143511.84192</v>
      </c>
      <c r="V143" s="2">
        <v>403121.77439999999</v>
      </c>
      <c r="W143" s="1">
        <v>71.2</v>
      </c>
      <c r="X143" s="2">
        <v>1166758.9568</v>
      </c>
      <c r="Y143" s="2">
        <v>54.609999999999992</v>
      </c>
      <c r="Z143" s="2">
        <v>518.16</v>
      </c>
      <c r="AA143" s="2">
        <v>1653.5399999999997</v>
      </c>
      <c r="AB143" s="2">
        <v>1861.82</v>
      </c>
      <c r="AC143" s="2">
        <v>1275.08</v>
      </c>
      <c r="AD143" s="2">
        <v>1485.8999999999999</v>
      </c>
      <c r="AE143" s="2">
        <v>466.72499999999997</v>
      </c>
      <c r="AF143" s="2">
        <v>139.69999999999999</v>
      </c>
      <c r="AG143" s="2"/>
    </row>
    <row r="144" spans="1:33" x14ac:dyDescent="0.25">
      <c r="A144" s="1" t="s">
        <v>144</v>
      </c>
      <c r="B144" s="1">
        <v>81.849016699999993</v>
      </c>
      <c r="C144" s="1">
        <v>10451.591999999999</v>
      </c>
      <c r="D144" s="2">
        <v>528.31999999999994</v>
      </c>
      <c r="E144" s="2">
        <v>208.78800000000001</v>
      </c>
      <c r="F144" s="2">
        <v>9.5249999999999986</v>
      </c>
      <c r="G144" s="2">
        <v>13.258799999999999</v>
      </c>
      <c r="H144" s="2">
        <v>25.907999999999998</v>
      </c>
      <c r="I144" s="2">
        <v>20.637499999999999</v>
      </c>
      <c r="J144" s="2">
        <v>474503825.18399996</v>
      </c>
      <c r="K144" s="2">
        <v>2064770.0639999998</v>
      </c>
      <c r="L144" s="2">
        <v>1802577.0399999998</v>
      </c>
      <c r="M144" s="2">
        <v>213.35999999999999</v>
      </c>
      <c r="N144" s="2">
        <v>20145600.999039996</v>
      </c>
      <c r="O144" s="1">
        <v>301521.97759999993</v>
      </c>
      <c r="P144" s="2">
        <v>193367.35519999999</v>
      </c>
      <c r="Q144" s="2">
        <v>43.942</v>
      </c>
      <c r="R144" s="1">
        <v>516126.96774399997</v>
      </c>
      <c r="S144" s="1">
        <v>1337308615369.678</v>
      </c>
      <c r="T144" s="1">
        <v>26903.172000000002</v>
      </c>
      <c r="U144" s="2">
        <v>18605544.724319998</v>
      </c>
      <c r="V144" s="2">
        <v>340850.93119999999</v>
      </c>
      <c r="W144" s="1">
        <v>61.8</v>
      </c>
      <c r="X144" s="2">
        <v>1012720.5551999998</v>
      </c>
      <c r="Y144" s="2">
        <v>53.593999999999994</v>
      </c>
      <c r="Z144" s="2">
        <v>515.62</v>
      </c>
      <c r="AA144" s="2">
        <v>1643.3799999999999</v>
      </c>
      <c r="AB144" s="2">
        <v>1851.66</v>
      </c>
      <c r="AC144" s="2">
        <v>1264.9199999999998</v>
      </c>
      <c r="AD144" s="2">
        <v>1473.1999999999998</v>
      </c>
      <c r="AE144" s="2">
        <v>466.72499999999997</v>
      </c>
      <c r="AF144" s="2">
        <v>139.69999999999999</v>
      </c>
      <c r="AG144" s="2"/>
    </row>
    <row r="145" spans="1:33" x14ac:dyDescent="0.25">
      <c r="A145" s="1" t="s">
        <v>145</v>
      </c>
      <c r="B145" s="1">
        <v>71.431869120000002</v>
      </c>
      <c r="C145" s="1">
        <v>9096.7559999999994</v>
      </c>
      <c r="D145" s="2">
        <v>523.24</v>
      </c>
      <c r="E145" s="2">
        <v>206.756</v>
      </c>
      <c r="F145" s="2">
        <v>8.8899999999999988</v>
      </c>
      <c r="G145" s="2">
        <v>10.921999999999999</v>
      </c>
      <c r="H145" s="2">
        <v>23.622</v>
      </c>
      <c r="I145" s="2">
        <v>20.637499999999999</v>
      </c>
      <c r="J145" s="2">
        <v>399165937.15039998</v>
      </c>
      <c r="K145" s="2">
        <v>1753415.8479999998</v>
      </c>
      <c r="L145" s="2">
        <v>1523996.9519999998</v>
      </c>
      <c r="M145" s="2">
        <v>209.29599999999999</v>
      </c>
      <c r="N145" s="2">
        <v>16108156.17072</v>
      </c>
      <c r="O145" s="1">
        <v>244167.2536</v>
      </c>
      <c r="P145" s="2">
        <v>156004.84927999997</v>
      </c>
      <c r="Q145" s="2">
        <v>42.163999999999994</v>
      </c>
      <c r="R145" s="1">
        <v>334233.83475679997</v>
      </c>
      <c r="S145" s="1">
        <v>1060716672833.3792</v>
      </c>
      <c r="T145" s="1">
        <v>26451.559999999998</v>
      </c>
      <c r="U145" s="2">
        <v>14942708.179039998</v>
      </c>
      <c r="V145" s="2">
        <v>276941.38159999996</v>
      </c>
      <c r="W145" s="1">
        <v>52.3</v>
      </c>
      <c r="X145" s="2">
        <v>857043.44719999982</v>
      </c>
      <c r="Y145" s="2">
        <v>52.069999999999993</v>
      </c>
      <c r="Z145" s="2">
        <v>513.07999999999993</v>
      </c>
      <c r="AA145" s="2">
        <v>1628.1399999999999</v>
      </c>
      <c r="AB145" s="2">
        <v>1833.8799999999999</v>
      </c>
      <c r="AC145" s="2">
        <v>1252.2199999999998</v>
      </c>
      <c r="AD145" s="2">
        <v>1460.5</v>
      </c>
      <c r="AE145" s="2">
        <v>466.72499999999997</v>
      </c>
      <c r="AF145" s="2">
        <v>139.69999999999999</v>
      </c>
      <c r="AG145" s="2"/>
    </row>
    <row r="146" spans="1:33" x14ac:dyDescent="0.25">
      <c r="A146" s="1" t="s">
        <v>146</v>
      </c>
      <c r="B146" s="1">
        <v>84.825344579999992</v>
      </c>
      <c r="C146" s="1">
        <v>10774.171999999999</v>
      </c>
      <c r="D146" s="2">
        <v>535.94000000000005</v>
      </c>
      <c r="E146" s="2">
        <v>166.62399999999997</v>
      </c>
      <c r="F146" s="2">
        <v>10.287000000000001</v>
      </c>
      <c r="G146" s="2">
        <v>16.509999999999998</v>
      </c>
      <c r="H146" s="2">
        <v>29.209999999999997</v>
      </c>
      <c r="I146" s="2">
        <v>20.637499999999999</v>
      </c>
      <c r="J146" s="2">
        <v>486990767.95199996</v>
      </c>
      <c r="K146" s="2">
        <v>2113931.2559999996</v>
      </c>
      <c r="L146" s="2">
        <v>1818964.1039999998</v>
      </c>
      <c r="M146" s="2">
        <v>212.34399999999997</v>
      </c>
      <c r="N146" s="2">
        <v>12736681.623359999</v>
      </c>
      <c r="O146" s="1">
        <v>242528.5472</v>
      </c>
      <c r="P146" s="2">
        <v>153219.04839999997</v>
      </c>
      <c r="Q146" s="2">
        <v>34.29</v>
      </c>
      <c r="R146" s="1">
        <v>736729.62331199995</v>
      </c>
      <c r="S146" s="1">
        <v>856629414262.90625</v>
      </c>
      <c r="T146" s="1">
        <v>21612.86</v>
      </c>
      <c r="U146" s="2">
        <v>14901085.036479997</v>
      </c>
      <c r="V146" s="2">
        <v>335934.81199999998</v>
      </c>
      <c r="W146" s="1">
        <v>63.4</v>
      </c>
      <c r="X146" s="2">
        <v>1038939.8575999999</v>
      </c>
      <c r="Y146" s="2">
        <v>42.671999999999997</v>
      </c>
      <c r="Z146" s="2">
        <v>520.69999999999993</v>
      </c>
      <c r="AA146" s="2">
        <v>1529.08</v>
      </c>
      <c r="AB146" s="2">
        <v>1696.7199999999998</v>
      </c>
      <c r="AC146" s="2">
        <v>1239.5199999999998</v>
      </c>
      <c r="AD146" s="2">
        <v>1404.62</v>
      </c>
      <c r="AE146" s="2">
        <v>466.72499999999997</v>
      </c>
      <c r="AF146" s="2">
        <v>88.899999999999991</v>
      </c>
      <c r="AG146" s="2"/>
    </row>
    <row r="147" spans="1:33" x14ac:dyDescent="0.25">
      <c r="A147" s="1" t="s">
        <v>147</v>
      </c>
      <c r="B147" s="1">
        <v>74.408197000000001</v>
      </c>
      <c r="C147" s="1">
        <v>9483.851999999999</v>
      </c>
      <c r="D147" s="2">
        <v>528.31999999999994</v>
      </c>
      <c r="E147" s="2">
        <v>165.86199999999999</v>
      </c>
      <c r="F147" s="2">
        <v>9.6519999999999992</v>
      </c>
      <c r="G147" s="2">
        <v>13.589</v>
      </c>
      <c r="H147" s="2">
        <v>26.416</v>
      </c>
      <c r="I147" s="2">
        <v>20.637499999999999</v>
      </c>
      <c r="J147" s="2">
        <v>409571722.79039997</v>
      </c>
      <c r="K147" s="2">
        <v>1802577.0399999998</v>
      </c>
      <c r="L147" s="2">
        <v>1548577.548</v>
      </c>
      <c r="M147" s="2">
        <v>207.77199999999999</v>
      </c>
      <c r="N147" s="2">
        <v>10364162.497439999</v>
      </c>
      <c r="O147" s="1">
        <v>199922.18079999997</v>
      </c>
      <c r="P147" s="2">
        <v>125197.16895999998</v>
      </c>
      <c r="Q147" s="2">
        <v>33.019999999999996</v>
      </c>
      <c r="R147" s="1">
        <v>474503.8251839999</v>
      </c>
      <c r="S147" s="1">
        <v>690137177008.04663</v>
      </c>
      <c r="T147" s="1">
        <v>21354.795999999998</v>
      </c>
      <c r="U147" s="2">
        <v>12029088.199839998</v>
      </c>
      <c r="V147" s="2">
        <v>273663.96879999997</v>
      </c>
      <c r="W147" s="1">
        <v>53.9</v>
      </c>
      <c r="X147" s="2">
        <v>883262.74959999986</v>
      </c>
      <c r="Y147" s="2">
        <v>41.655999999999992</v>
      </c>
      <c r="Z147" s="2">
        <v>515.62</v>
      </c>
      <c r="AA147" s="2">
        <v>1513.84</v>
      </c>
      <c r="AB147" s="2">
        <v>1678.9399999999998</v>
      </c>
      <c r="AC147" s="2">
        <v>1221.74</v>
      </c>
      <c r="AD147" s="2">
        <v>1389.3799999999999</v>
      </c>
      <c r="AE147" s="2">
        <v>466.72499999999997</v>
      </c>
      <c r="AF147" s="2">
        <v>88.899999999999991</v>
      </c>
      <c r="AG147" s="2"/>
    </row>
    <row r="148" spans="1:33" x14ac:dyDescent="0.25">
      <c r="A148" s="1" t="s">
        <v>148</v>
      </c>
      <c r="B148" s="1">
        <v>65.479213360000003</v>
      </c>
      <c r="C148" s="1">
        <v>8387.08</v>
      </c>
      <c r="D148" s="2">
        <v>525.78</v>
      </c>
      <c r="E148" s="2">
        <v>165.1</v>
      </c>
      <c r="F148" s="2">
        <v>8.8899999999999988</v>
      </c>
      <c r="G148" s="2">
        <v>11.43</v>
      </c>
      <c r="H148" s="2">
        <v>24.13</v>
      </c>
      <c r="I148" s="2">
        <v>20.637499999999999</v>
      </c>
      <c r="J148" s="2">
        <v>350883091.78079998</v>
      </c>
      <c r="K148" s="2">
        <v>1563325.9055999999</v>
      </c>
      <c r="L148" s="2">
        <v>1337184.4223999998</v>
      </c>
      <c r="M148" s="2">
        <v>204.72399999999999</v>
      </c>
      <c r="N148" s="2">
        <v>8615990.5099199992</v>
      </c>
      <c r="O148" s="1">
        <v>167148.05279999998</v>
      </c>
      <c r="P148" s="2">
        <v>104385.59767999999</v>
      </c>
      <c r="Q148" s="2">
        <v>32.003999999999998</v>
      </c>
      <c r="R148" s="1">
        <v>320498.19771199999</v>
      </c>
      <c r="S148" s="1">
        <v>566610678399.60254</v>
      </c>
      <c r="T148" s="1">
        <v>21225.763999999999</v>
      </c>
      <c r="U148" s="2">
        <v>10031177.35696</v>
      </c>
      <c r="V148" s="2">
        <v>229418.89599999998</v>
      </c>
      <c r="W148" s="1">
        <v>46.8</v>
      </c>
      <c r="X148" s="2">
        <v>766914.59519999987</v>
      </c>
      <c r="Y148" s="2">
        <v>40.64</v>
      </c>
      <c r="Z148" s="2">
        <v>515.62</v>
      </c>
      <c r="AA148" s="2">
        <v>1506.2199999999998</v>
      </c>
      <c r="AB148" s="2">
        <v>1671.32</v>
      </c>
      <c r="AC148" s="2">
        <v>1216.6599999999999</v>
      </c>
      <c r="AD148" s="2">
        <v>1381.76</v>
      </c>
      <c r="AE148" s="2">
        <v>466.72499999999997</v>
      </c>
      <c r="AF148" s="2">
        <v>88.899999999999991</v>
      </c>
      <c r="AG148" s="2"/>
    </row>
    <row r="149" spans="1:33" x14ac:dyDescent="0.25">
      <c r="A149" s="1" t="s">
        <v>149</v>
      </c>
      <c r="B149" s="1">
        <v>462.81898533999998</v>
      </c>
      <c r="C149" s="1">
        <v>59096.655999999995</v>
      </c>
      <c r="D149" s="2">
        <v>566.41999999999996</v>
      </c>
      <c r="E149" s="2">
        <v>304.79999999999995</v>
      </c>
      <c r="F149" s="2">
        <v>38.607999999999997</v>
      </c>
      <c r="G149" s="2">
        <v>69.596000000000004</v>
      </c>
      <c r="H149" s="2">
        <v>82.296000000000006</v>
      </c>
      <c r="I149" s="2">
        <v>39.6875</v>
      </c>
      <c r="J149" s="2">
        <v>2901133036.4319997</v>
      </c>
      <c r="K149" s="2">
        <v>12355846.255999999</v>
      </c>
      <c r="L149" s="2">
        <v>10225527.935999999</v>
      </c>
      <c r="M149" s="2">
        <v>221.488</v>
      </c>
      <c r="N149" s="2">
        <v>330903983.35199994</v>
      </c>
      <c r="O149" s="1">
        <v>3392122.2479999997</v>
      </c>
      <c r="P149" s="2">
        <v>2163092.4479999999</v>
      </c>
      <c r="Q149" s="2">
        <v>74.930000000000007</v>
      </c>
      <c r="R149" s="1">
        <v>73256730.905599996</v>
      </c>
      <c r="S149" s="1">
        <v>20462433030355.313</v>
      </c>
      <c r="T149" s="1">
        <v>37870.892</v>
      </c>
      <c r="U149" s="2">
        <v>200623547.13919997</v>
      </c>
      <c r="V149" s="2">
        <v>2294188.96</v>
      </c>
      <c r="W149" s="1">
        <v>375</v>
      </c>
      <c r="X149" s="2">
        <v>6145148.9999999991</v>
      </c>
      <c r="Y149" s="2">
        <v>89.661999999999992</v>
      </c>
      <c r="Z149" s="2">
        <v>497.84000000000003</v>
      </c>
      <c r="AA149" s="2">
        <v>1948.18</v>
      </c>
      <c r="AB149" s="2">
        <v>2252.98</v>
      </c>
      <c r="AC149" s="2">
        <v>1437.6399999999999</v>
      </c>
      <c r="AD149" s="2">
        <v>1742.4399999999998</v>
      </c>
      <c r="AE149" s="2">
        <v>384.17499999999995</v>
      </c>
      <c r="AF149" s="2">
        <v>139.69999999999999</v>
      </c>
      <c r="AG149" s="2"/>
    </row>
    <row r="150" spans="1:33" x14ac:dyDescent="0.25">
      <c r="A150" s="1" t="s">
        <v>150</v>
      </c>
      <c r="B150" s="1">
        <v>421.15039501999996</v>
      </c>
      <c r="C150" s="1">
        <v>53741.827999999994</v>
      </c>
      <c r="D150" s="2">
        <v>556.25999999999988</v>
      </c>
      <c r="E150" s="2">
        <v>302.26</v>
      </c>
      <c r="F150" s="2">
        <v>35.559999999999995</v>
      </c>
      <c r="G150" s="2">
        <v>63.5</v>
      </c>
      <c r="H150" s="2">
        <v>76.199999999999989</v>
      </c>
      <c r="I150" s="2">
        <v>38.099999999999994</v>
      </c>
      <c r="J150" s="2">
        <v>2568147895.9519997</v>
      </c>
      <c r="K150" s="2">
        <v>11077655.263999999</v>
      </c>
      <c r="L150" s="2">
        <v>9258691.1599999983</v>
      </c>
      <c r="M150" s="2">
        <v>218.69399999999996</v>
      </c>
      <c r="N150" s="2">
        <v>293026923.62239999</v>
      </c>
      <c r="O150" s="1">
        <v>3031606.84</v>
      </c>
      <c r="P150" s="2">
        <v>1933673.5519999999</v>
      </c>
      <c r="Q150" s="2">
        <v>73.914000000000001</v>
      </c>
      <c r="R150" s="1">
        <v>55775011.030399993</v>
      </c>
      <c r="S150" s="1">
        <v>17696513604992.324</v>
      </c>
      <c r="T150" s="1">
        <v>37225.732000000004</v>
      </c>
      <c r="U150" s="2">
        <v>178563281.58239999</v>
      </c>
      <c r="V150" s="2">
        <v>2081157.1279999998</v>
      </c>
      <c r="W150" s="1">
        <v>339</v>
      </c>
      <c r="X150" s="2">
        <v>5555214.6959999995</v>
      </c>
      <c r="Y150" s="2">
        <v>88.138000000000005</v>
      </c>
      <c r="Z150" s="2">
        <v>492.75999999999993</v>
      </c>
      <c r="AA150" s="2">
        <v>1925.3199999999997</v>
      </c>
      <c r="AB150" s="2">
        <v>2227.58</v>
      </c>
      <c r="AC150" s="2">
        <v>1414.78</v>
      </c>
      <c r="AD150" s="2">
        <v>1717.0399999999997</v>
      </c>
      <c r="AE150" s="2">
        <v>384.17499999999995</v>
      </c>
      <c r="AF150" s="2">
        <v>139.69999999999999</v>
      </c>
      <c r="AG150" s="2"/>
    </row>
    <row r="151" spans="1:33" x14ac:dyDescent="0.25">
      <c r="A151" s="1" t="s">
        <v>151</v>
      </c>
      <c r="B151" s="1">
        <v>383.94629651999998</v>
      </c>
      <c r="C151" s="1">
        <v>49032.159999999996</v>
      </c>
      <c r="D151" s="2">
        <v>546.1</v>
      </c>
      <c r="E151" s="2">
        <v>299.72000000000003</v>
      </c>
      <c r="F151" s="2">
        <v>32.512</v>
      </c>
      <c r="G151" s="2">
        <v>58.419999999999995</v>
      </c>
      <c r="H151" s="2">
        <v>68.58</v>
      </c>
      <c r="I151" s="2">
        <v>36.512499999999996</v>
      </c>
      <c r="J151" s="2">
        <v>2293435155.0559998</v>
      </c>
      <c r="K151" s="2">
        <v>10012496.103999998</v>
      </c>
      <c r="L151" s="2">
        <v>8422950.8959999997</v>
      </c>
      <c r="M151" s="2">
        <v>216.66199999999998</v>
      </c>
      <c r="N151" s="2">
        <v>261393335.27679998</v>
      </c>
      <c r="O151" s="1">
        <v>2720252.6239999998</v>
      </c>
      <c r="P151" s="2">
        <v>1753415.8479999998</v>
      </c>
      <c r="Q151" s="2">
        <v>73.151999999999987</v>
      </c>
      <c r="R151" s="1">
        <v>42871836.836799994</v>
      </c>
      <c r="S151" s="1">
        <v>15467665912709.529</v>
      </c>
      <c r="T151" s="1">
        <v>36516.055999999997</v>
      </c>
      <c r="U151" s="2">
        <v>159832867.43039998</v>
      </c>
      <c r="V151" s="2">
        <v>1900899.4239999999</v>
      </c>
      <c r="W151" s="1">
        <v>306</v>
      </c>
      <c r="X151" s="2">
        <v>5014441.5839999998</v>
      </c>
      <c r="Y151" s="2">
        <v>86.867999999999995</v>
      </c>
      <c r="Z151" s="2">
        <v>487.67999999999995</v>
      </c>
      <c r="AA151" s="2">
        <v>1907.5399999999997</v>
      </c>
      <c r="AB151" s="2">
        <v>2207.2600000000002</v>
      </c>
      <c r="AC151" s="2">
        <v>1391.9199999999998</v>
      </c>
      <c r="AD151" s="2">
        <v>1691.6399999999999</v>
      </c>
      <c r="AE151" s="2">
        <v>384.17499999999995</v>
      </c>
      <c r="AF151" s="2">
        <v>139.69999999999999</v>
      </c>
      <c r="AG151" s="2"/>
    </row>
    <row r="152" spans="1:33" x14ac:dyDescent="0.25">
      <c r="A152" s="1" t="s">
        <v>152</v>
      </c>
      <c r="B152" s="1">
        <v>348.23036195999998</v>
      </c>
      <c r="C152" s="1">
        <v>44257.975999999995</v>
      </c>
      <c r="D152" s="2">
        <v>535.94000000000005</v>
      </c>
      <c r="E152" s="2">
        <v>297.17999999999995</v>
      </c>
      <c r="F152" s="2">
        <v>29.463999999999995</v>
      </c>
      <c r="G152" s="2">
        <v>53.593999999999994</v>
      </c>
      <c r="H152" s="2">
        <v>63.753999999999991</v>
      </c>
      <c r="I152" s="2">
        <v>34.924999999999997</v>
      </c>
      <c r="J152" s="2">
        <v>2039533985.4399998</v>
      </c>
      <c r="K152" s="2">
        <v>8996498.1359999999</v>
      </c>
      <c r="L152" s="2">
        <v>7636371.8239999991</v>
      </c>
      <c r="M152" s="2">
        <v>214.37599999999998</v>
      </c>
      <c r="N152" s="2">
        <v>232257135.48479998</v>
      </c>
      <c r="O152" s="1">
        <v>2441672.5359999998</v>
      </c>
      <c r="P152" s="2">
        <v>1569880.7311999998</v>
      </c>
      <c r="Q152" s="2">
        <v>72.39</v>
      </c>
      <c r="R152" s="1">
        <v>32757413.194719996</v>
      </c>
      <c r="S152" s="1">
        <v>13453646913658.809</v>
      </c>
      <c r="T152" s="1">
        <v>35806.379999999997</v>
      </c>
      <c r="U152" s="2">
        <v>142767378.98079997</v>
      </c>
      <c r="V152" s="2">
        <v>1737028.7839999998</v>
      </c>
      <c r="W152" s="1">
        <v>276</v>
      </c>
      <c r="X152" s="2">
        <v>4522829.6639999999</v>
      </c>
      <c r="Y152" s="2">
        <v>85.597999999999999</v>
      </c>
      <c r="Z152" s="2">
        <v>482.59999999999997</v>
      </c>
      <c r="AA152" s="2">
        <v>1887.2199999999998</v>
      </c>
      <c r="AB152" s="2">
        <v>2184.4</v>
      </c>
      <c r="AC152" s="2">
        <v>1369.06</v>
      </c>
      <c r="AD152" s="2">
        <v>1666.2399999999998</v>
      </c>
      <c r="AE152" s="2">
        <v>384.17499999999995</v>
      </c>
      <c r="AF152" s="2">
        <v>139.69999999999999</v>
      </c>
      <c r="AG152" s="2"/>
    </row>
    <row r="153" spans="1:33" x14ac:dyDescent="0.25">
      <c r="A153" s="1" t="s">
        <v>153</v>
      </c>
      <c r="B153" s="1">
        <v>314.00259133999998</v>
      </c>
      <c r="C153" s="1">
        <v>40193.467999999993</v>
      </c>
      <c r="D153" s="2">
        <v>525.78</v>
      </c>
      <c r="E153" s="2">
        <v>294.64</v>
      </c>
      <c r="F153" s="2">
        <v>26.923999999999999</v>
      </c>
      <c r="G153" s="2">
        <v>48.513999999999996</v>
      </c>
      <c r="H153" s="2">
        <v>58.673999999999999</v>
      </c>
      <c r="I153" s="2">
        <v>34.924999999999997</v>
      </c>
      <c r="J153" s="2">
        <v>1802282072.8479998</v>
      </c>
      <c r="K153" s="2">
        <v>8029661.3599999994</v>
      </c>
      <c r="L153" s="2">
        <v>6866179.8159999996</v>
      </c>
      <c r="M153" s="2">
        <v>212.08999999999997</v>
      </c>
      <c r="N153" s="2">
        <v>205202092.82079998</v>
      </c>
      <c r="O153" s="1">
        <v>2163092.4479999999</v>
      </c>
      <c r="P153" s="2">
        <v>1397816.5591999998</v>
      </c>
      <c r="Q153" s="2">
        <v>71.627999999999986</v>
      </c>
      <c r="R153" s="1">
        <v>24391161.540159997</v>
      </c>
      <c r="S153" s="1">
        <v>11654456607840.166</v>
      </c>
      <c r="T153" s="1">
        <v>35161.22</v>
      </c>
      <c r="U153" s="2">
        <v>125701890.53119999</v>
      </c>
      <c r="V153" s="2">
        <v>1550216.2543999997</v>
      </c>
      <c r="W153" s="1">
        <v>246</v>
      </c>
      <c r="X153" s="2">
        <v>4031217.7439999995</v>
      </c>
      <c r="Y153" s="2">
        <v>84.327999999999989</v>
      </c>
      <c r="Z153" s="2">
        <v>477.52</v>
      </c>
      <c r="AA153" s="2">
        <v>1864.3600000000001</v>
      </c>
      <c r="AB153" s="2">
        <v>2159</v>
      </c>
      <c r="AC153" s="2">
        <v>1346.1999999999998</v>
      </c>
      <c r="AD153" s="2">
        <v>1640.8399999999997</v>
      </c>
      <c r="AE153" s="2">
        <v>384.17499999999995</v>
      </c>
      <c r="AF153" s="2">
        <v>139.69999999999999</v>
      </c>
      <c r="AG153" s="2"/>
    </row>
    <row r="154" spans="1:33" x14ac:dyDescent="0.25">
      <c r="A154" s="1" t="s">
        <v>154</v>
      </c>
      <c r="B154" s="1">
        <v>285.72747648000001</v>
      </c>
      <c r="C154" s="1">
        <v>36257.991999999998</v>
      </c>
      <c r="D154" s="2">
        <v>518.16</v>
      </c>
      <c r="E154" s="2">
        <v>292.09999999999997</v>
      </c>
      <c r="F154" s="2">
        <v>24.383999999999997</v>
      </c>
      <c r="G154" s="2">
        <v>44.449999999999996</v>
      </c>
      <c r="H154" s="2">
        <v>54.609999999999992</v>
      </c>
      <c r="I154" s="2">
        <v>33.337499999999999</v>
      </c>
      <c r="J154" s="2">
        <v>1610815617.0719998</v>
      </c>
      <c r="K154" s="2">
        <v>7243082.2879999997</v>
      </c>
      <c r="L154" s="2">
        <v>6227084.3199999994</v>
      </c>
      <c r="M154" s="2">
        <v>210.31199999999998</v>
      </c>
      <c r="N154" s="2">
        <v>183141827.26399997</v>
      </c>
      <c r="O154" s="1">
        <v>1950060.6159999999</v>
      </c>
      <c r="P154" s="2">
        <v>1258526.5151999998</v>
      </c>
      <c r="Q154" s="2">
        <v>70.866</v>
      </c>
      <c r="R154" s="1">
        <v>18605544.724319998</v>
      </c>
      <c r="S154" s="1">
        <v>10204362928523.646</v>
      </c>
      <c r="T154" s="1">
        <v>34580.576000000001</v>
      </c>
      <c r="U154" s="2">
        <v>112382484.91199999</v>
      </c>
      <c r="V154" s="2">
        <v>1409287.504</v>
      </c>
      <c r="W154" s="1">
        <v>222</v>
      </c>
      <c r="X154" s="2">
        <v>3637928.2079999996</v>
      </c>
      <c r="Y154" s="2">
        <v>83.311999999999983</v>
      </c>
      <c r="Z154" s="2">
        <v>474.97999999999996</v>
      </c>
      <c r="AA154" s="2">
        <v>1846.58</v>
      </c>
      <c r="AB154" s="2">
        <v>2138.6799999999998</v>
      </c>
      <c r="AC154" s="2">
        <v>1328.4199999999998</v>
      </c>
      <c r="AD154" s="2">
        <v>1620.5199999999998</v>
      </c>
      <c r="AE154" s="2">
        <v>384.17499999999995</v>
      </c>
      <c r="AF154" s="2">
        <v>139.69999999999999</v>
      </c>
      <c r="AG154" s="2"/>
    </row>
    <row r="155" spans="1:33" x14ac:dyDescent="0.25">
      <c r="A155" s="1" t="s">
        <v>155</v>
      </c>
      <c r="B155" s="1">
        <v>260.42868950000002</v>
      </c>
      <c r="C155" s="1">
        <v>33161.223999999995</v>
      </c>
      <c r="D155" s="2">
        <v>508</v>
      </c>
      <c r="E155" s="2">
        <v>289.56</v>
      </c>
      <c r="F155" s="2">
        <v>22.605999999999998</v>
      </c>
      <c r="G155" s="2">
        <v>40.386000000000003</v>
      </c>
      <c r="H155" s="2">
        <v>50.545999999999999</v>
      </c>
      <c r="I155" s="2">
        <v>31.75</v>
      </c>
      <c r="J155" s="2">
        <v>1435998418.3199999</v>
      </c>
      <c r="K155" s="2">
        <v>6522051.4719999991</v>
      </c>
      <c r="L155" s="2">
        <v>5637150.0159999998</v>
      </c>
      <c r="M155" s="2">
        <v>208.27999999999997</v>
      </c>
      <c r="N155" s="2">
        <v>162746487.40959999</v>
      </c>
      <c r="O155" s="1">
        <v>1737028.7839999998</v>
      </c>
      <c r="P155" s="2">
        <v>1127430.0031999999</v>
      </c>
      <c r="Q155" s="2">
        <v>70.103999999999985</v>
      </c>
      <c r="R155" s="1">
        <v>14068622.185279997</v>
      </c>
      <c r="S155" s="1">
        <v>8942244355785.1973</v>
      </c>
      <c r="T155" s="1">
        <v>33870.9</v>
      </c>
      <c r="U155" s="2">
        <v>99063079.292799994</v>
      </c>
      <c r="V155" s="2">
        <v>1260165.2216</v>
      </c>
      <c r="W155" s="1">
        <v>198</v>
      </c>
      <c r="X155" s="2">
        <v>3244638.6719999998</v>
      </c>
      <c r="Y155" s="2">
        <v>82.296000000000006</v>
      </c>
      <c r="Z155" s="2">
        <v>467.35999999999996</v>
      </c>
      <c r="AA155" s="2">
        <v>1821.18</v>
      </c>
      <c r="AB155" s="2">
        <v>2110.7399999999998</v>
      </c>
      <c r="AC155" s="2">
        <v>1305.56</v>
      </c>
      <c r="AD155" s="2">
        <v>1595.12</v>
      </c>
      <c r="AE155" s="2">
        <v>384.17499999999995</v>
      </c>
      <c r="AF155" s="2">
        <v>139.69999999999999</v>
      </c>
      <c r="AG155" s="2"/>
    </row>
    <row r="156" spans="1:33" x14ac:dyDescent="0.25">
      <c r="A156" s="1" t="s">
        <v>156</v>
      </c>
      <c r="B156" s="1">
        <v>235.12990252</v>
      </c>
      <c r="C156" s="1">
        <v>29870.907999999996</v>
      </c>
      <c r="D156" s="2">
        <v>500.37999999999994</v>
      </c>
      <c r="E156" s="2">
        <v>287.02</v>
      </c>
      <c r="F156" s="2">
        <v>20.574000000000002</v>
      </c>
      <c r="G156" s="2">
        <v>36.575999999999993</v>
      </c>
      <c r="H156" s="2">
        <v>46.735999999999997</v>
      </c>
      <c r="I156" s="2">
        <v>31.75</v>
      </c>
      <c r="J156" s="2">
        <v>1273668162.336</v>
      </c>
      <c r="K156" s="2">
        <v>5833794.7839999991</v>
      </c>
      <c r="L156" s="2">
        <v>5079989.84</v>
      </c>
      <c r="M156" s="2">
        <v>206.24799999999996</v>
      </c>
      <c r="N156" s="2">
        <v>144432304.68319997</v>
      </c>
      <c r="O156" s="1">
        <v>1553493.6671999998</v>
      </c>
      <c r="P156" s="2">
        <v>1006165.7295999998</v>
      </c>
      <c r="Q156" s="2">
        <v>69.596000000000004</v>
      </c>
      <c r="R156" s="1">
        <v>10489031.925119998</v>
      </c>
      <c r="S156" s="1">
        <v>7787540129662.7832</v>
      </c>
      <c r="T156" s="1">
        <v>33290.256000000001</v>
      </c>
      <c r="U156" s="2">
        <v>87408599.375999987</v>
      </c>
      <c r="V156" s="2">
        <v>1130707.416</v>
      </c>
      <c r="W156" s="1">
        <v>177</v>
      </c>
      <c r="X156" s="2">
        <v>2900510.3279999997</v>
      </c>
      <c r="Y156" s="2">
        <v>81.28</v>
      </c>
      <c r="Z156" s="2">
        <v>464.82</v>
      </c>
      <c r="AA156" s="2">
        <v>1803.3999999999999</v>
      </c>
      <c r="AB156" s="2">
        <v>2090.4199999999996</v>
      </c>
      <c r="AC156" s="2">
        <v>1287.78</v>
      </c>
      <c r="AD156" s="2">
        <v>1574.8</v>
      </c>
      <c r="AE156" s="2">
        <v>384.17499999999995</v>
      </c>
      <c r="AF156" s="2">
        <v>139.69999999999999</v>
      </c>
      <c r="AG156" s="2"/>
    </row>
    <row r="157" spans="1:33" x14ac:dyDescent="0.25">
      <c r="A157" s="1" t="s">
        <v>157</v>
      </c>
      <c r="B157" s="1">
        <v>212.80744342</v>
      </c>
      <c r="C157" s="1">
        <v>27096.719999999998</v>
      </c>
      <c r="D157" s="2">
        <v>495.29999999999995</v>
      </c>
      <c r="E157" s="2">
        <v>284.47999999999996</v>
      </c>
      <c r="F157" s="2">
        <v>18.541999999999998</v>
      </c>
      <c r="G157" s="2">
        <v>33.527999999999999</v>
      </c>
      <c r="H157" s="2">
        <v>43.687999999999995</v>
      </c>
      <c r="I157" s="2">
        <v>30.162499999999998</v>
      </c>
      <c r="J157" s="2">
        <v>1144636420.3999999</v>
      </c>
      <c r="K157" s="2">
        <v>5276634.6079999991</v>
      </c>
      <c r="L157" s="2">
        <v>4621152.0479999995</v>
      </c>
      <c r="M157" s="2">
        <v>205.48599999999999</v>
      </c>
      <c r="N157" s="2">
        <v>129447973.36159998</v>
      </c>
      <c r="O157" s="1">
        <v>1399455.2656</v>
      </c>
      <c r="P157" s="2">
        <v>909482.05199999991</v>
      </c>
      <c r="Q157" s="2">
        <v>69.088000000000008</v>
      </c>
      <c r="R157" s="1">
        <v>7991643.3715199986</v>
      </c>
      <c r="S157" s="1">
        <v>6901371770080.4668</v>
      </c>
      <c r="T157" s="1">
        <v>32838.644</v>
      </c>
      <c r="U157" s="2">
        <v>78251508.012799993</v>
      </c>
      <c r="V157" s="2">
        <v>1029107.6191999998</v>
      </c>
      <c r="W157" s="1">
        <v>160</v>
      </c>
      <c r="X157" s="2">
        <v>2621930.2399999998</v>
      </c>
      <c r="Y157" s="2">
        <v>80.518000000000001</v>
      </c>
      <c r="Z157" s="2">
        <v>462.28</v>
      </c>
      <c r="AA157" s="2">
        <v>1788.16</v>
      </c>
      <c r="AB157" s="2">
        <v>2072.64</v>
      </c>
      <c r="AC157" s="2">
        <v>1275.08</v>
      </c>
      <c r="AD157" s="2">
        <v>1559.56</v>
      </c>
      <c r="AE157" s="2">
        <v>384.17499999999995</v>
      </c>
      <c r="AF157" s="2">
        <v>139.69999999999999</v>
      </c>
      <c r="AG157" s="2"/>
    </row>
    <row r="158" spans="1:33" x14ac:dyDescent="0.25">
      <c r="A158" s="1" t="s">
        <v>158</v>
      </c>
      <c r="B158" s="1">
        <v>193.46131220000001</v>
      </c>
      <c r="C158" s="1">
        <v>24709.627999999997</v>
      </c>
      <c r="D158" s="2">
        <v>490.21999999999997</v>
      </c>
      <c r="E158" s="2">
        <v>284.47999999999996</v>
      </c>
      <c r="F158" s="2">
        <v>17.018000000000001</v>
      </c>
      <c r="G158" s="2">
        <v>30.479999999999997</v>
      </c>
      <c r="H158" s="2">
        <v>40.64</v>
      </c>
      <c r="I158" s="2">
        <v>30.162499999999998</v>
      </c>
      <c r="J158" s="2">
        <v>1023929306.976</v>
      </c>
      <c r="K158" s="2">
        <v>4752248.5599999996</v>
      </c>
      <c r="L158" s="2">
        <v>4195088.3839999996</v>
      </c>
      <c r="M158" s="2">
        <v>203.96199999999996</v>
      </c>
      <c r="N158" s="2">
        <v>115712336.31679998</v>
      </c>
      <c r="O158" s="1">
        <v>1256887.8088</v>
      </c>
      <c r="P158" s="2">
        <v>817714.49359999993</v>
      </c>
      <c r="Q158" s="2">
        <v>68.58</v>
      </c>
      <c r="R158" s="1">
        <v>6035355.6711999997</v>
      </c>
      <c r="S158" s="1">
        <v>6095764170460.1787</v>
      </c>
      <c r="T158" s="1">
        <v>32709.612000000001</v>
      </c>
      <c r="U158" s="2">
        <v>70759342.351999998</v>
      </c>
      <c r="V158" s="2">
        <v>937340.06079999998</v>
      </c>
      <c r="W158" s="1">
        <v>146</v>
      </c>
      <c r="X158" s="2">
        <v>2392511.3439999996</v>
      </c>
      <c r="Y158" s="2">
        <v>79.501999999999995</v>
      </c>
      <c r="Z158" s="2">
        <v>459.74</v>
      </c>
      <c r="AA158" s="2">
        <v>1783.08</v>
      </c>
      <c r="AB158" s="2">
        <v>2067.56</v>
      </c>
      <c r="AC158" s="2">
        <v>1264.9199999999998</v>
      </c>
      <c r="AD158" s="2">
        <v>1549.3999999999999</v>
      </c>
      <c r="AE158" s="2">
        <v>384.17499999999995</v>
      </c>
      <c r="AF158" s="2">
        <v>139.69999999999999</v>
      </c>
      <c r="AG158" s="2"/>
    </row>
    <row r="159" spans="1:33" x14ac:dyDescent="0.25">
      <c r="A159" s="1" t="s">
        <v>159</v>
      </c>
      <c r="B159" s="1">
        <v>177.09150886</v>
      </c>
      <c r="C159" s="1">
        <v>22645.115999999998</v>
      </c>
      <c r="D159" s="2">
        <v>482.59999999999997</v>
      </c>
      <c r="E159" s="2">
        <v>287.02</v>
      </c>
      <c r="F159" s="2">
        <v>16.637</v>
      </c>
      <c r="G159" s="2">
        <v>26.923999999999999</v>
      </c>
      <c r="H159" s="2">
        <v>37.083999999999996</v>
      </c>
      <c r="I159" s="2">
        <v>30.162499999999998</v>
      </c>
      <c r="J159" s="2">
        <v>911546822.06399989</v>
      </c>
      <c r="K159" s="2">
        <v>4293410.7679999992</v>
      </c>
      <c r="L159" s="2">
        <v>3785411.7839999995</v>
      </c>
      <c r="M159" s="2">
        <v>200.66</v>
      </c>
      <c r="N159" s="2">
        <v>105306550.67679998</v>
      </c>
      <c r="O159" s="1">
        <v>1132346.1223999998</v>
      </c>
      <c r="P159" s="2">
        <v>735779.17359999986</v>
      </c>
      <c r="Q159" s="2">
        <v>68.325999999999993</v>
      </c>
      <c r="R159" s="1">
        <v>4412053.1113599995</v>
      </c>
      <c r="S159" s="1">
        <v>5451278090763.9482</v>
      </c>
      <c r="T159" s="1">
        <v>32709.612000000001</v>
      </c>
      <c r="U159" s="2">
        <v>63267176.691199996</v>
      </c>
      <c r="V159" s="2">
        <v>829185.43839999998</v>
      </c>
      <c r="W159" s="1">
        <v>131</v>
      </c>
      <c r="X159" s="2">
        <v>2146705.3839999996</v>
      </c>
      <c r="Y159" s="2">
        <v>79.501999999999995</v>
      </c>
      <c r="Z159" s="2">
        <v>454.65999999999991</v>
      </c>
      <c r="AA159" s="2">
        <v>1775.46</v>
      </c>
      <c r="AB159" s="2">
        <v>2062.48</v>
      </c>
      <c r="AC159" s="2">
        <v>1252.2199999999998</v>
      </c>
      <c r="AD159" s="2">
        <v>1539.24</v>
      </c>
      <c r="AE159" s="2">
        <v>384.17499999999995</v>
      </c>
      <c r="AF159" s="2">
        <v>139.69999999999999</v>
      </c>
      <c r="AG159" s="2"/>
    </row>
    <row r="160" spans="1:33" x14ac:dyDescent="0.25">
      <c r="A160" s="1" t="s">
        <v>160</v>
      </c>
      <c r="B160" s="1">
        <v>157.74537763999999</v>
      </c>
      <c r="C160" s="1">
        <v>20064.475999999999</v>
      </c>
      <c r="D160" s="2">
        <v>474.97999999999996</v>
      </c>
      <c r="E160" s="2">
        <v>284.47999999999996</v>
      </c>
      <c r="F160" s="2">
        <v>14.985999999999999</v>
      </c>
      <c r="G160" s="2">
        <v>23.875999999999998</v>
      </c>
      <c r="H160" s="2">
        <v>34.036000000000001</v>
      </c>
      <c r="I160" s="2">
        <v>28.574999999999999</v>
      </c>
      <c r="J160" s="2">
        <v>795002022.89599991</v>
      </c>
      <c r="K160" s="2">
        <v>3769024.7199999997</v>
      </c>
      <c r="L160" s="2">
        <v>3342961.0559999999</v>
      </c>
      <c r="M160" s="2">
        <v>199.136</v>
      </c>
      <c r="N160" s="2">
        <v>91570913.631999984</v>
      </c>
      <c r="O160" s="1">
        <v>991417.37199999986</v>
      </c>
      <c r="P160" s="2">
        <v>645650.32159999991</v>
      </c>
      <c r="Q160" s="2">
        <v>67.563999999999993</v>
      </c>
      <c r="R160" s="1">
        <v>3113411.0634880001</v>
      </c>
      <c r="S160" s="1">
        <v>4672524077797.6699</v>
      </c>
      <c r="T160" s="1">
        <v>32064.452000000001</v>
      </c>
      <c r="U160" s="2">
        <v>54526316.753599994</v>
      </c>
      <c r="V160" s="2">
        <v>725946.93519999983</v>
      </c>
      <c r="W160" s="1">
        <v>114</v>
      </c>
      <c r="X160" s="2">
        <v>1868125.2959999999</v>
      </c>
      <c r="Y160" s="2">
        <v>78.739999999999995</v>
      </c>
      <c r="Z160" s="2">
        <v>452.12</v>
      </c>
      <c r="AA160" s="2">
        <v>1755.1399999999996</v>
      </c>
      <c r="AB160" s="2">
        <v>2039.62</v>
      </c>
      <c r="AC160" s="2">
        <v>1234.44</v>
      </c>
      <c r="AD160" s="2">
        <v>1518.9199999999998</v>
      </c>
      <c r="AE160" s="2">
        <v>384.17499999999995</v>
      </c>
      <c r="AF160" s="2">
        <v>139.69999999999999</v>
      </c>
      <c r="AG160" s="2"/>
    </row>
    <row r="161" spans="1:33" x14ac:dyDescent="0.25">
      <c r="A161" s="1" t="s">
        <v>161</v>
      </c>
      <c r="B161" s="1">
        <v>144.35190218</v>
      </c>
      <c r="C161" s="1">
        <v>18387.059999999998</v>
      </c>
      <c r="D161" s="2">
        <v>472.44</v>
      </c>
      <c r="E161" s="2">
        <v>281.94</v>
      </c>
      <c r="F161" s="2">
        <v>13.589</v>
      </c>
      <c r="G161" s="2">
        <v>22.097999999999999</v>
      </c>
      <c r="H161" s="2">
        <v>32.257999999999996</v>
      </c>
      <c r="I161" s="2">
        <v>28.574999999999999</v>
      </c>
      <c r="J161" s="2">
        <v>728404994.79999995</v>
      </c>
      <c r="K161" s="2">
        <v>3457670.5039999997</v>
      </c>
      <c r="L161" s="2">
        <v>3080768.0319999997</v>
      </c>
      <c r="M161" s="2">
        <v>198.62799999999999</v>
      </c>
      <c r="N161" s="2">
        <v>83662516.545599997</v>
      </c>
      <c r="O161" s="1">
        <v>906204.63919999986</v>
      </c>
      <c r="P161" s="2">
        <v>591573.01039999991</v>
      </c>
      <c r="Q161" s="2">
        <v>67.309999999999988</v>
      </c>
      <c r="R161" s="1">
        <v>2439116.1540159998</v>
      </c>
      <c r="S161" s="1">
        <v>4242866691333.5166</v>
      </c>
      <c r="T161" s="1">
        <v>31741.871999999999</v>
      </c>
      <c r="U161" s="2">
        <v>49531539.646399997</v>
      </c>
      <c r="V161" s="2">
        <v>666953.5048</v>
      </c>
      <c r="W161" s="1">
        <v>105</v>
      </c>
      <c r="X161" s="2">
        <v>1720641.7199999997</v>
      </c>
      <c r="Y161" s="2">
        <v>78.231999999999999</v>
      </c>
      <c r="Z161" s="2">
        <v>449.58</v>
      </c>
      <c r="AA161" s="2">
        <v>1744.98</v>
      </c>
      <c r="AB161" s="2">
        <v>2026.9199999999998</v>
      </c>
      <c r="AC161" s="2">
        <v>1226.82</v>
      </c>
      <c r="AD161" s="2">
        <v>1508.76</v>
      </c>
      <c r="AE161" s="2">
        <v>384.17499999999995</v>
      </c>
      <c r="AF161" s="2">
        <v>139.69999999999999</v>
      </c>
      <c r="AG161" s="2"/>
    </row>
    <row r="162" spans="1:33" x14ac:dyDescent="0.25">
      <c r="A162" s="1" t="s">
        <v>162</v>
      </c>
      <c r="B162" s="1">
        <v>127.98209883999999</v>
      </c>
      <c r="C162" s="1">
        <v>16322.547999999999</v>
      </c>
      <c r="D162" s="2">
        <v>467.35999999999996</v>
      </c>
      <c r="E162" s="2">
        <v>281.94</v>
      </c>
      <c r="F162" s="2">
        <v>12.191999999999998</v>
      </c>
      <c r="G162" s="2">
        <v>19.558</v>
      </c>
      <c r="H162" s="2">
        <v>29.717999999999996</v>
      </c>
      <c r="I162" s="2">
        <v>26.987499999999997</v>
      </c>
      <c r="J162" s="2">
        <v>636834081.16799998</v>
      </c>
      <c r="K162" s="2">
        <v>3047993.9039999996</v>
      </c>
      <c r="L162" s="2">
        <v>2720252.6239999998</v>
      </c>
      <c r="M162" s="2">
        <v>197.35799999999998</v>
      </c>
      <c r="N162" s="2">
        <v>72840499.479999989</v>
      </c>
      <c r="O162" s="1">
        <v>793133.89759999991</v>
      </c>
      <c r="P162" s="2">
        <v>517831.22239999997</v>
      </c>
      <c r="Q162" s="2">
        <v>66.801999999999992</v>
      </c>
      <c r="R162" s="1">
        <v>1706548.8449599997</v>
      </c>
      <c r="S162" s="1">
        <v>3652087784945.3052</v>
      </c>
      <c r="T162" s="1">
        <v>31548.323999999997</v>
      </c>
      <c r="U162" s="2">
        <v>43704299.687999994</v>
      </c>
      <c r="V162" s="2">
        <v>589934.304</v>
      </c>
      <c r="W162" s="1">
        <v>92.4</v>
      </c>
      <c r="X162" s="2">
        <v>1514164.7135999999</v>
      </c>
      <c r="Y162" s="2">
        <v>77.469999999999985</v>
      </c>
      <c r="Z162" s="2">
        <v>447.04</v>
      </c>
      <c r="AA162" s="2">
        <v>1737.3600000000001</v>
      </c>
      <c r="AB162" s="2">
        <v>2019.3</v>
      </c>
      <c r="AC162" s="2">
        <v>1216.6599999999999</v>
      </c>
      <c r="AD162" s="2">
        <v>1498.6</v>
      </c>
      <c r="AE162" s="2">
        <v>384.17499999999995</v>
      </c>
      <c r="AF162" s="2">
        <v>139.69999999999999</v>
      </c>
      <c r="AG162" s="2"/>
    </row>
    <row r="163" spans="1:33" x14ac:dyDescent="0.25">
      <c r="A163" s="1" t="s">
        <v>163</v>
      </c>
      <c r="B163" s="1">
        <v>113.10045943999999</v>
      </c>
      <c r="C163" s="1">
        <v>14387.067999999999</v>
      </c>
      <c r="D163" s="2">
        <v>462.28</v>
      </c>
      <c r="E163" s="2">
        <v>279.39999999999998</v>
      </c>
      <c r="F163" s="2">
        <v>10.795</v>
      </c>
      <c r="G163" s="2">
        <v>17.272000000000002</v>
      </c>
      <c r="H163" s="2">
        <v>27.431999999999999</v>
      </c>
      <c r="I163" s="2">
        <v>26.987499999999997</v>
      </c>
      <c r="J163" s="2">
        <v>553587796.04799998</v>
      </c>
      <c r="K163" s="2">
        <v>2671091.4319999996</v>
      </c>
      <c r="L163" s="2">
        <v>2392511.3439999996</v>
      </c>
      <c r="M163" s="2">
        <v>196.34200000000001</v>
      </c>
      <c r="N163" s="2">
        <v>63267176.691199996</v>
      </c>
      <c r="O163" s="1">
        <v>691534.10080000001</v>
      </c>
      <c r="P163" s="2">
        <v>452282.96639999998</v>
      </c>
      <c r="Q163" s="2">
        <v>66.293999999999997</v>
      </c>
      <c r="R163" s="1">
        <v>1177934.9344479998</v>
      </c>
      <c r="S163" s="1">
        <v>3141869638519.123</v>
      </c>
      <c r="T163" s="1">
        <v>31096.712</v>
      </c>
      <c r="U163" s="2">
        <v>37502451.446559995</v>
      </c>
      <c r="V163" s="2">
        <v>516192.51599999995</v>
      </c>
      <c r="W163" s="1">
        <v>80.599999999999994</v>
      </c>
      <c r="X163" s="2">
        <v>1320797.3583999998</v>
      </c>
      <c r="Y163" s="2">
        <v>76.707999999999998</v>
      </c>
      <c r="Z163" s="2">
        <v>444.5</v>
      </c>
      <c r="AA163" s="2">
        <v>1724.66</v>
      </c>
      <c r="AB163" s="2">
        <v>2004.06</v>
      </c>
      <c r="AC163" s="2">
        <v>1203.9599999999998</v>
      </c>
      <c r="AD163" s="2">
        <v>1483.36</v>
      </c>
      <c r="AE163" s="2">
        <v>384.17499999999995</v>
      </c>
      <c r="AF163" s="2">
        <v>139.69999999999999</v>
      </c>
      <c r="AG163" s="2"/>
    </row>
    <row r="164" spans="1:33" x14ac:dyDescent="0.25">
      <c r="A164" s="1" t="s">
        <v>164</v>
      </c>
      <c r="B164" s="1">
        <v>105.65963974</v>
      </c>
      <c r="C164" s="1">
        <v>13483.843999999999</v>
      </c>
      <c r="D164" s="2">
        <v>469.9</v>
      </c>
      <c r="E164" s="2">
        <v>194.05599999999998</v>
      </c>
      <c r="F164" s="2">
        <v>12.572999999999999</v>
      </c>
      <c r="G164" s="2">
        <v>20.574000000000002</v>
      </c>
      <c r="H164" s="2">
        <v>30.733999999999998</v>
      </c>
      <c r="I164" s="2">
        <v>22.224999999999998</v>
      </c>
      <c r="J164" s="2">
        <v>486990767.95199996</v>
      </c>
      <c r="K164" s="2">
        <v>2392511.3439999996</v>
      </c>
      <c r="L164" s="2">
        <v>2081157.1279999998</v>
      </c>
      <c r="M164" s="2">
        <v>190.5</v>
      </c>
      <c r="N164" s="2">
        <v>25098754.963679995</v>
      </c>
      <c r="O164" s="1">
        <v>404760.48079999996</v>
      </c>
      <c r="P164" s="2">
        <v>258915.61119999998</v>
      </c>
      <c r="Q164" s="2">
        <v>43.18</v>
      </c>
      <c r="R164" s="1">
        <v>1452647.6753439999</v>
      </c>
      <c r="S164" s="1">
        <v>1262118572738.4512</v>
      </c>
      <c r="T164" s="1">
        <v>21806.407999999996</v>
      </c>
      <c r="U164" s="2">
        <v>21768903.558879998</v>
      </c>
      <c r="V164" s="2">
        <v>419508.83840000001</v>
      </c>
      <c r="W164" s="1">
        <v>72.400000000000006</v>
      </c>
      <c r="X164" s="2">
        <v>1186423.4335999999</v>
      </c>
      <c r="Y164" s="2">
        <v>52.069999999999993</v>
      </c>
      <c r="Z164" s="2">
        <v>449.58</v>
      </c>
      <c r="AA164" s="2">
        <v>1480.82</v>
      </c>
      <c r="AB164" s="2">
        <v>1673.8600000000001</v>
      </c>
      <c r="AC164" s="2">
        <v>1132.8399999999999</v>
      </c>
      <c r="AD164" s="2">
        <v>1328.4199999999998</v>
      </c>
      <c r="AE164" s="2">
        <v>393.7</v>
      </c>
      <c r="AF164" s="2">
        <v>88.899999999999991</v>
      </c>
      <c r="AG164" s="2"/>
    </row>
    <row r="165" spans="1:33" x14ac:dyDescent="0.25">
      <c r="A165" s="1" t="s">
        <v>165</v>
      </c>
      <c r="B165" s="1">
        <v>96.730656100000004</v>
      </c>
      <c r="C165" s="1">
        <v>12322.556</v>
      </c>
      <c r="D165" s="2">
        <v>467.35999999999996</v>
      </c>
      <c r="E165" s="2">
        <v>192.78599999999997</v>
      </c>
      <c r="F165" s="2">
        <v>11.43</v>
      </c>
      <c r="G165" s="2">
        <v>19.049999999999997</v>
      </c>
      <c r="H165" s="2">
        <v>29.209999999999997</v>
      </c>
      <c r="I165" s="2">
        <v>22.224999999999998</v>
      </c>
      <c r="J165" s="2">
        <v>445367625.39199996</v>
      </c>
      <c r="K165" s="2">
        <v>2179479.5119999996</v>
      </c>
      <c r="L165" s="2">
        <v>1917286.4879999999</v>
      </c>
      <c r="M165" s="2">
        <v>190.24599999999998</v>
      </c>
      <c r="N165" s="2">
        <v>22809482.122879997</v>
      </c>
      <c r="O165" s="1">
        <v>368708.93999999994</v>
      </c>
      <c r="P165" s="2">
        <v>235973.72159999999</v>
      </c>
      <c r="Q165" s="2">
        <v>42.925999999999995</v>
      </c>
      <c r="R165" s="1">
        <v>1136311.791888</v>
      </c>
      <c r="S165" s="1">
        <v>1138592074130.0071</v>
      </c>
      <c r="T165" s="1">
        <v>21612.86</v>
      </c>
      <c r="U165" s="2">
        <v>19854239.001119997</v>
      </c>
      <c r="V165" s="2">
        <v>386734.71039999998</v>
      </c>
      <c r="W165" s="1">
        <v>66.3</v>
      </c>
      <c r="X165" s="2">
        <v>1086462.3431999998</v>
      </c>
      <c r="Y165" s="2">
        <v>51.561999999999991</v>
      </c>
      <c r="Z165" s="2">
        <v>449.58</v>
      </c>
      <c r="AA165" s="2">
        <v>1473.1999999999998</v>
      </c>
      <c r="AB165" s="2">
        <v>1666.2399999999998</v>
      </c>
      <c r="AC165" s="2">
        <v>1127.76</v>
      </c>
      <c r="AD165" s="2">
        <v>1320.8</v>
      </c>
      <c r="AE165" s="2">
        <v>393.7</v>
      </c>
      <c r="AF165" s="2">
        <v>88.899999999999991</v>
      </c>
      <c r="AG165" s="2"/>
    </row>
    <row r="166" spans="1:33" x14ac:dyDescent="0.25">
      <c r="A166" s="1" t="s">
        <v>166</v>
      </c>
      <c r="B166" s="1">
        <v>89.289836399999999</v>
      </c>
      <c r="C166" s="1">
        <v>11354.816000000001</v>
      </c>
      <c r="D166" s="2">
        <v>462.28</v>
      </c>
      <c r="E166" s="2">
        <v>192.02399999999997</v>
      </c>
      <c r="F166" s="2">
        <v>10.540999999999999</v>
      </c>
      <c r="G166" s="2">
        <v>17.652999999999999</v>
      </c>
      <c r="H166" s="2">
        <v>27.94</v>
      </c>
      <c r="I166" s="2">
        <v>20.637499999999999</v>
      </c>
      <c r="J166" s="2">
        <v>409571722.79039997</v>
      </c>
      <c r="K166" s="2">
        <v>2015608.8719999997</v>
      </c>
      <c r="L166" s="2">
        <v>1769802.9119999998</v>
      </c>
      <c r="M166" s="2">
        <v>189.73799999999997</v>
      </c>
      <c r="N166" s="2">
        <v>20853194.422559999</v>
      </c>
      <c r="O166" s="1">
        <v>337573.5184</v>
      </c>
      <c r="P166" s="2">
        <v>217947.95119999998</v>
      </c>
      <c r="Q166" s="2">
        <v>42.671999999999997</v>
      </c>
      <c r="R166" s="1">
        <v>903222.19355199987</v>
      </c>
      <c r="S166" s="1">
        <v>1033863086179.3695</v>
      </c>
      <c r="T166" s="1">
        <v>21354.795999999998</v>
      </c>
      <c r="U166" s="2">
        <v>18106067.013599999</v>
      </c>
      <c r="V166" s="2">
        <v>355599.28879999998</v>
      </c>
      <c r="W166" s="1">
        <v>60.6</v>
      </c>
      <c r="X166" s="2">
        <v>993056.07839999988</v>
      </c>
      <c r="Y166" s="2">
        <v>51.308</v>
      </c>
      <c r="Z166" s="2">
        <v>444.5</v>
      </c>
      <c r="AA166" s="2">
        <v>1460.5</v>
      </c>
      <c r="AB166" s="2">
        <v>1653.5399999999997</v>
      </c>
      <c r="AC166" s="2">
        <v>1117.5999999999999</v>
      </c>
      <c r="AD166" s="2">
        <v>1308.0999999999999</v>
      </c>
      <c r="AE166" s="2">
        <v>393.7</v>
      </c>
      <c r="AF166" s="2">
        <v>88.899999999999991</v>
      </c>
      <c r="AG166" s="2"/>
    </row>
    <row r="167" spans="1:33" x14ac:dyDescent="0.25">
      <c r="A167" s="1" t="s">
        <v>167</v>
      </c>
      <c r="B167" s="1">
        <v>81.849016699999993</v>
      </c>
      <c r="C167" s="1">
        <v>10451.591999999999</v>
      </c>
      <c r="D167" s="2">
        <v>459.74</v>
      </c>
      <c r="E167" s="2">
        <v>191.262</v>
      </c>
      <c r="F167" s="2">
        <v>9.9060000000000006</v>
      </c>
      <c r="G167" s="2">
        <v>16.001999999999999</v>
      </c>
      <c r="H167" s="2">
        <v>26.161999999999999</v>
      </c>
      <c r="I167" s="2">
        <v>20.637499999999999</v>
      </c>
      <c r="J167" s="2">
        <v>370445968.78399998</v>
      </c>
      <c r="K167" s="2">
        <v>1835351.1679999998</v>
      </c>
      <c r="L167" s="2">
        <v>1610848.3911999997</v>
      </c>
      <c r="M167" s="2">
        <v>188.214</v>
      </c>
      <c r="N167" s="2">
        <v>18688791.009439997</v>
      </c>
      <c r="O167" s="1">
        <v>303160.68399999995</v>
      </c>
      <c r="P167" s="2">
        <v>195006.06159999999</v>
      </c>
      <c r="Q167" s="2">
        <v>42.417999999999999</v>
      </c>
      <c r="R167" s="1">
        <v>690944.1664959999</v>
      </c>
      <c r="S167" s="1">
        <v>921078022232.52917</v>
      </c>
      <c r="T167" s="1">
        <v>21225.763999999999</v>
      </c>
      <c r="U167" s="2">
        <v>16233025.598399999</v>
      </c>
      <c r="V167" s="2">
        <v>321186.45439999999</v>
      </c>
      <c r="W167" s="1">
        <v>55.3</v>
      </c>
      <c r="X167" s="2">
        <v>906204.63919999986</v>
      </c>
      <c r="Y167" s="2">
        <v>50.8</v>
      </c>
      <c r="Z167" s="2">
        <v>444.5</v>
      </c>
      <c r="AA167" s="2">
        <v>1455.4199999999998</v>
      </c>
      <c r="AB167" s="2">
        <v>1645.9199999999998</v>
      </c>
      <c r="AC167" s="2">
        <v>1109.98</v>
      </c>
      <c r="AD167" s="2">
        <v>1303.0199999999998</v>
      </c>
      <c r="AE167" s="2">
        <v>393.7</v>
      </c>
      <c r="AF167" s="2">
        <v>88.899999999999991</v>
      </c>
      <c r="AG167" s="2"/>
    </row>
    <row r="168" spans="1:33" x14ac:dyDescent="0.25">
      <c r="A168" s="1" t="s">
        <v>168</v>
      </c>
      <c r="B168" s="1">
        <v>74.408197000000001</v>
      </c>
      <c r="C168" s="1">
        <v>9483.851999999999</v>
      </c>
      <c r="D168" s="2">
        <v>457.2</v>
      </c>
      <c r="E168" s="2">
        <v>190.5</v>
      </c>
      <c r="F168" s="2">
        <v>9.0169999999999995</v>
      </c>
      <c r="G168" s="2">
        <v>14.477999999999998</v>
      </c>
      <c r="H168" s="2">
        <v>24.688799999999997</v>
      </c>
      <c r="I168" s="2">
        <v>20.637499999999999</v>
      </c>
      <c r="J168" s="2">
        <v>332985140.47999996</v>
      </c>
      <c r="K168" s="2">
        <v>1655093.4639999999</v>
      </c>
      <c r="L168" s="2">
        <v>1456809.9896</v>
      </c>
      <c r="M168" s="2">
        <v>187.452</v>
      </c>
      <c r="N168" s="2">
        <v>16690880.16656</v>
      </c>
      <c r="O168" s="1">
        <v>272025.26240000001</v>
      </c>
      <c r="P168" s="2">
        <v>175341.58479999998</v>
      </c>
      <c r="Q168" s="2">
        <v>41.91</v>
      </c>
      <c r="R168" s="1">
        <v>516126.96774399997</v>
      </c>
      <c r="S168" s="1">
        <v>816349034281.89185</v>
      </c>
      <c r="T168" s="1">
        <v>21096.732</v>
      </c>
      <c r="U168" s="2">
        <v>14526476.753439998</v>
      </c>
      <c r="V168" s="2">
        <v>290051.03279999999</v>
      </c>
      <c r="W168" s="1">
        <v>49.9</v>
      </c>
      <c r="X168" s="2">
        <v>817714.49359999993</v>
      </c>
      <c r="Y168" s="2">
        <v>50.291999999999994</v>
      </c>
      <c r="Z168" s="2">
        <v>441.95999999999992</v>
      </c>
      <c r="AA168" s="2">
        <v>1450.34</v>
      </c>
      <c r="AB168" s="2">
        <v>1640.8399999999997</v>
      </c>
      <c r="AC168" s="2">
        <v>1104.8999999999999</v>
      </c>
      <c r="AD168" s="2">
        <v>1295.3999999999999</v>
      </c>
      <c r="AE168" s="2">
        <v>393.7</v>
      </c>
      <c r="AF168" s="2">
        <v>88.899999999999991</v>
      </c>
      <c r="AG168" s="2"/>
    </row>
    <row r="169" spans="1:33" x14ac:dyDescent="0.25">
      <c r="A169" s="1" t="s">
        <v>169</v>
      </c>
      <c r="B169" s="1">
        <v>68.455541240000002</v>
      </c>
      <c r="C169" s="1">
        <v>8709.66</v>
      </c>
      <c r="D169" s="2">
        <v>459.74</v>
      </c>
      <c r="E169" s="2">
        <v>153.92399999999998</v>
      </c>
      <c r="F169" s="2">
        <v>9.1439999999999984</v>
      </c>
      <c r="G169" s="2">
        <v>15.366999999999999</v>
      </c>
      <c r="H169" s="2">
        <v>25.654</v>
      </c>
      <c r="I169" s="2">
        <v>20.637499999999999</v>
      </c>
      <c r="J169" s="2">
        <v>296356775.02719998</v>
      </c>
      <c r="K169" s="2">
        <v>1486306.7047999999</v>
      </c>
      <c r="L169" s="2">
        <v>1291300.6431999998</v>
      </c>
      <c r="M169" s="2">
        <v>184.14999999999998</v>
      </c>
      <c r="N169" s="2">
        <v>9365207.0759999994</v>
      </c>
      <c r="O169" s="1">
        <v>191728.64879999997</v>
      </c>
      <c r="P169" s="2">
        <v>121755.88551999998</v>
      </c>
      <c r="Q169" s="2">
        <v>32.765999999999998</v>
      </c>
      <c r="R169" s="1">
        <v>507802.33923199994</v>
      </c>
      <c r="S169" s="1">
        <v>461881690448.96509</v>
      </c>
      <c r="T169" s="1">
        <v>17096.739999999998</v>
      </c>
      <c r="U169" s="2">
        <v>10114423.64208</v>
      </c>
      <c r="V169" s="2">
        <v>247444.66639999996</v>
      </c>
      <c r="W169" s="1">
        <v>44.9</v>
      </c>
      <c r="X169" s="2">
        <v>735779.17359999986</v>
      </c>
      <c r="Y169" s="2">
        <v>40.131999999999998</v>
      </c>
      <c r="Z169" s="2">
        <v>444.5</v>
      </c>
      <c r="AA169" s="2">
        <v>1343.6599999999999</v>
      </c>
      <c r="AB169" s="2">
        <v>1498.6</v>
      </c>
      <c r="AC169" s="2">
        <v>1074.4199999999998</v>
      </c>
      <c r="AD169" s="2">
        <v>1226.82</v>
      </c>
      <c r="AE169" s="2">
        <v>393.7</v>
      </c>
      <c r="AF169" s="2">
        <v>88.899999999999991</v>
      </c>
      <c r="AG169" s="2"/>
    </row>
    <row r="170" spans="1:33" x14ac:dyDescent="0.25">
      <c r="A170" s="1" t="s">
        <v>170</v>
      </c>
      <c r="B170" s="1">
        <v>59.526557599999997</v>
      </c>
      <c r="C170" s="1">
        <v>7612.8879999999999</v>
      </c>
      <c r="D170" s="2">
        <v>454.65999999999991</v>
      </c>
      <c r="E170" s="2">
        <v>152.90799999999999</v>
      </c>
      <c r="F170" s="2">
        <v>8.0009999999999994</v>
      </c>
      <c r="G170" s="2">
        <v>13.334999999999999</v>
      </c>
      <c r="H170" s="2">
        <v>23.5458</v>
      </c>
      <c r="I170" s="2">
        <v>20.637499999999999</v>
      </c>
      <c r="J170" s="2">
        <v>254733632.46719998</v>
      </c>
      <c r="K170" s="2">
        <v>1284745.8176</v>
      </c>
      <c r="L170" s="2">
        <v>1120875.1776000001</v>
      </c>
      <c r="M170" s="2">
        <v>183.13399999999999</v>
      </c>
      <c r="N170" s="2">
        <v>7950020.22896</v>
      </c>
      <c r="O170" s="1">
        <v>163870.63999999998</v>
      </c>
      <c r="P170" s="2">
        <v>104057.85639999999</v>
      </c>
      <c r="Q170" s="2">
        <v>32.257999999999996</v>
      </c>
      <c r="R170" s="1">
        <v>337147.45473599999</v>
      </c>
      <c r="S170" s="1">
        <v>386691647817.73822</v>
      </c>
      <c r="T170" s="1">
        <v>16838.675999999999</v>
      </c>
      <c r="U170" s="2">
        <v>8615990.5099199992</v>
      </c>
      <c r="V170" s="2">
        <v>213031.83199999999</v>
      </c>
      <c r="W170" s="1">
        <v>38.6</v>
      </c>
      <c r="X170" s="2">
        <v>632540.67039999994</v>
      </c>
      <c r="Y170" s="2">
        <v>39.624000000000002</v>
      </c>
      <c r="Z170" s="2">
        <v>441.95999999999992</v>
      </c>
      <c r="AA170" s="2">
        <v>1336.04</v>
      </c>
      <c r="AB170" s="2">
        <v>1488.44</v>
      </c>
      <c r="AC170" s="2">
        <v>1061.7199999999998</v>
      </c>
      <c r="AD170" s="2">
        <v>1214.1199999999999</v>
      </c>
      <c r="AE170" s="2">
        <v>393.7</v>
      </c>
      <c r="AF170" s="2">
        <v>88.899999999999991</v>
      </c>
      <c r="AG170" s="2"/>
    </row>
    <row r="171" spans="1:33" x14ac:dyDescent="0.25">
      <c r="A171" s="1" t="s">
        <v>171</v>
      </c>
      <c r="B171" s="1">
        <v>52.085737899999998</v>
      </c>
      <c r="C171" s="1">
        <v>6645.1480000000001</v>
      </c>
      <c r="D171" s="2">
        <v>449.58</v>
      </c>
      <c r="E171" s="2">
        <v>152.39999999999998</v>
      </c>
      <c r="F171" s="2">
        <v>7.6199999999999992</v>
      </c>
      <c r="G171" s="2">
        <v>10.795</v>
      </c>
      <c r="H171" s="2">
        <v>21.005799999999997</v>
      </c>
      <c r="I171" s="2">
        <v>19.049999999999997</v>
      </c>
      <c r="J171" s="2">
        <v>212278027.05599996</v>
      </c>
      <c r="K171" s="2">
        <v>1089739.7559999998</v>
      </c>
      <c r="L171" s="2">
        <v>943894.88639999996</v>
      </c>
      <c r="M171" s="2">
        <v>178.816</v>
      </c>
      <c r="N171" s="2">
        <v>6368340.8116799993</v>
      </c>
      <c r="O171" s="1">
        <v>132079.73584000001</v>
      </c>
      <c r="P171" s="2">
        <v>83901.76767999999</v>
      </c>
      <c r="Q171" s="2">
        <v>30.987999999999996</v>
      </c>
      <c r="R171" s="1">
        <v>210613.10135359998</v>
      </c>
      <c r="S171" s="1">
        <v>306130887855.70941</v>
      </c>
      <c r="T171" s="1">
        <v>16709.643999999997</v>
      </c>
      <c r="U171" s="2">
        <v>6867818.5223999992</v>
      </c>
      <c r="V171" s="2">
        <v>172064.17199999999</v>
      </c>
      <c r="W171" s="1">
        <v>32.700000000000003</v>
      </c>
      <c r="X171" s="2">
        <v>535856.99280000001</v>
      </c>
      <c r="Y171" s="2">
        <v>38.353999999999999</v>
      </c>
      <c r="Z171" s="2">
        <v>439.42</v>
      </c>
      <c r="AA171" s="2">
        <v>1323.34</v>
      </c>
      <c r="AB171" s="2">
        <v>1475.74</v>
      </c>
      <c r="AC171" s="2">
        <v>1051.56</v>
      </c>
      <c r="AD171" s="2">
        <v>1203.9599999999998</v>
      </c>
      <c r="AE171" s="2">
        <v>393.7</v>
      </c>
      <c r="AF171" s="2">
        <v>88.899999999999991</v>
      </c>
      <c r="AG171" s="2"/>
    </row>
    <row r="172" spans="1:33" x14ac:dyDescent="0.25">
      <c r="A172" s="1" t="s">
        <v>172</v>
      </c>
      <c r="B172" s="1">
        <v>148.816394</v>
      </c>
      <c r="C172" s="1">
        <v>18967.703999999998</v>
      </c>
      <c r="D172" s="2">
        <v>431.79999999999995</v>
      </c>
      <c r="E172" s="2">
        <v>264.15999999999997</v>
      </c>
      <c r="F172" s="2">
        <v>14.858999999999998</v>
      </c>
      <c r="G172" s="2">
        <v>25.018999999999998</v>
      </c>
      <c r="H172" s="2">
        <v>35.305999999999997</v>
      </c>
      <c r="I172" s="2">
        <v>28.574999999999999</v>
      </c>
      <c r="J172" s="2">
        <v>620184824.14399993</v>
      </c>
      <c r="K172" s="2">
        <v>3244638.6719999998</v>
      </c>
      <c r="L172" s="2">
        <v>2867736.1999999997</v>
      </c>
      <c r="M172" s="2">
        <v>180.33999999999997</v>
      </c>
      <c r="N172" s="2">
        <v>77419045.161599994</v>
      </c>
      <c r="O172" s="1">
        <v>899649.81359999988</v>
      </c>
      <c r="P172" s="2">
        <v>585018.18480000005</v>
      </c>
      <c r="Q172" s="2">
        <v>63.753999999999991</v>
      </c>
      <c r="R172" s="1">
        <v>3217468.919888</v>
      </c>
      <c r="S172" s="1">
        <v>3195576811827.1421</v>
      </c>
      <c r="T172" s="1">
        <v>26838.655999999999</v>
      </c>
      <c r="U172" s="2">
        <v>44536762.539199993</v>
      </c>
      <c r="V172" s="2">
        <v>634179.37679999997</v>
      </c>
      <c r="W172" s="1">
        <v>98.5</v>
      </c>
      <c r="X172" s="2">
        <v>1614125.8039999998</v>
      </c>
      <c r="Y172" s="2">
        <v>74.167999999999992</v>
      </c>
      <c r="Z172" s="2">
        <v>406.4</v>
      </c>
      <c r="AA172" s="2">
        <v>1607.82</v>
      </c>
      <c r="AB172" s="2">
        <v>1871.98</v>
      </c>
      <c r="AC172" s="2">
        <v>1127.76</v>
      </c>
      <c r="AD172" s="2">
        <v>1391.9199999999998</v>
      </c>
      <c r="AE172" s="2">
        <v>336.54999999999995</v>
      </c>
      <c r="AF172" s="2">
        <v>139.69999999999999</v>
      </c>
      <c r="AG172" s="2"/>
    </row>
    <row r="173" spans="1:33" x14ac:dyDescent="0.25">
      <c r="A173" s="1" t="s">
        <v>173</v>
      </c>
      <c r="B173" s="1">
        <v>132.44659066</v>
      </c>
      <c r="C173" s="1">
        <v>16903.191999999999</v>
      </c>
      <c r="D173" s="2">
        <v>426.71999999999997</v>
      </c>
      <c r="E173" s="2">
        <v>264.15999999999997</v>
      </c>
      <c r="F173" s="2">
        <v>13.334999999999999</v>
      </c>
      <c r="G173" s="2">
        <v>22.224999999999998</v>
      </c>
      <c r="H173" s="2">
        <v>32.512</v>
      </c>
      <c r="I173" s="2">
        <v>26.987499999999997</v>
      </c>
      <c r="J173" s="2">
        <v>541100853.27999997</v>
      </c>
      <c r="K173" s="2">
        <v>2867736.1999999997</v>
      </c>
      <c r="L173" s="2">
        <v>2539994.92</v>
      </c>
      <c r="M173" s="2">
        <v>179.07</v>
      </c>
      <c r="N173" s="2">
        <v>67845722.372799993</v>
      </c>
      <c r="O173" s="1">
        <v>788217.77839999995</v>
      </c>
      <c r="P173" s="2">
        <v>514553.80959999992</v>
      </c>
      <c r="Q173" s="2">
        <v>63.246000000000002</v>
      </c>
      <c r="R173" s="1">
        <v>2268461.2695199996</v>
      </c>
      <c r="S173" s="1">
        <v>2739065838708.979</v>
      </c>
      <c r="T173" s="1">
        <v>26709.623999999996</v>
      </c>
      <c r="U173" s="2">
        <v>39209000.29152</v>
      </c>
      <c r="V173" s="2">
        <v>563715.00159999996</v>
      </c>
      <c r="W173" s="1">
        <v>87.3</v>
      </c>
      <c r="X173" s="2">
        <v>1430590.6871999998</v>
      </c>
      <c r="Y173" s="2">
        <v>73.151999999999987</v>
      </c>
      <c r="Z173" s="2">
        <v>403.86</v>
      </c>
      <c r="AA173" s="2">
        <v>1602.74</v>
      </c>
      <c r="AB173" s="2">
        <v>1866.8999999999999</v>
      </c>
      <c r="AC173" s="2">
        <v>1117.5999999999999</v>
      </c>
      <c r="AD173" s="2">
        <v>1381.76</v>
      </c>
      <c r="AE173" s="2">
        <v>336.54999999999995</v>
      </c>
      <c r="AF173" s="2">
        <v>139.69999999999999</v>
      </c>
      <c r="AG173" s="2"/>
    </row>
    <row r="174" spans="1:33" x14ac:dyDescent="0.25">
      <c r="A174" s="1" t="s">
        <v>174</v>
      </c>
      <c r="B174" s="1">
        <v>114.58862338</v>
      </c>
      <c r="C174" s="1">
        <v>14580.616</v>
      </c>
      <c r="D174" s="2">
        <v>419.09999999999997</v>
      </c>
      <c r="E174" s="2">
        <v>261.62</v>
      </c>
      <c r="F174" s="2">
        <v>11.557</v>
      </c>
      <c r="G174" s="2">
        <v>19.303999999999998</v>
      </c>
      <c r="H174" s="2">
        <v>29.463999999999995</v>
      </c>
      <c r="I174" s="2">
        <v>26.987499999999997</v>
      </c>
      <c r="J174" s="2">
        <v>462016882.41599995</v>
      </c>
      <c r="K174" s="2">
        <v>2458059.5999999996</v>
      </c>
      <c r="L174" s="2">
        <v>2195866.5759999999</v>
      </c>
      <c r="M174" s="2">
        <v>177.79999999999998</v>
      </c>
      <c r="N174" s="2">
        <v>57439936.732799992</v>
      </c>
      <c r="O174" s="1">
        <v>673508.33039999998</v>
      </c>
      <c r="P174" s="2">
        <v>440812.02159999992</v>
      </c>
      <c r="Q174" s="2">
        <v>62.738</v>
      </c>
      <c r="R174" s="1">
        <v>1485946.1893919997</v>
      </c>
      <c r="S174" s="1">
        <v>2306723093579.4243</v>
      </c>
      <c r="T174" s="1">
        <v>26128.98</v>
      </c>
      <c r="U174" s="2">
        <v>33007152.050079994</v>
      </c>
      <c r="V174" s="2">
        <v>481779.68159999995</v>
      </c>
      <c r="W174" s="1">
        <v>74.400000000000006</v>
      </c>
      <c r="X174" s="2">
        <v>1219197.5615999999</v>
      </c>
      <c r="Y174" s="2">
        <v>72.39</v>
      </c>
      <c r="Z174" s="2">
        <v>398.78</v>
      </c>
      <c r="AA174" s="2">
        <v>1582.4199999999998</v>
      </c>
      <c r="AB174" s="2">
        <v>1844.0399999999997</v>
      </c>
      <c r="AC174" s="2">
        <v>1099.82</v>
      </c>
      <c r="AD174" s="2">
        <v>1361.44</v>
      </c>
      <c r="AE174" s="2">
        <v>336.54999999999995</v>
      </c>
      <c r="AF174" s="2">
        <v>139.69999999999999</v>
      </c>
      <c r="AG174" s="2"/>
    </row>
    <row r="175" spans="1:33" x14ac:dyDescent="0.25">
      <c r="A175" s="1" t="s">
        <v>175</v>
      </c>
      <c r="B175" s="1">
        <v>99.706983980000004</v>
      </c>
      <c r="C175" s="1">
        <v>12645.136</v>
      </c>
      <c r="D175" s="2">
        <v>414.02</v>
      </c>
      <c r="E175" s="2">
        <v>259.08</v>
      </c>
      <c r="F175" s="2">
        <v>10.032999999999999</v>
      </c>
      <c r="G175" s="2">
        <v>16.890999999999998</v>
      </c>
      <c r="H175" s="2">
        <v>27.178000000000001</v>
      </c>
      <c r="I175" s="2">
        <v>25.4</v>
      </c>
      <c r="J175" s="2">
        <v>397084780.02239996</v>
      </c>
      <c r="K175" s="2">
        <v>2130318.3199999998</v>
      </c>
      <c r="L175" s="2">
        <v>1917286.4879999999</v>
      </c>
      <c r="M175" s="2">
        <v>176.78399999999999</v>
      </c>
      <c r="N175" s="2">
        <v>49531539.646399997</v>
      </c>
      <c r="O175" s="1">
        <v>581740.772</v>
      </c>
      <c r="P175" s="2">
        <v>380179.88479999994</v>
      </c>
      <c r="Q175" s="2">
        <v>62.483999999999995</v>
      </c>
      <c r="R175" s="1">
        <v>994793.10718399996</v>
      </c>
      <c r="S175" s="1">
        <v>1960311825742.7007</v>
      </c>
      <c r="T175" s="1">
        <v>25741.883999999998</v>
      </c>
      <c r="U175" s="2">
        <v>28137244.370559994</v>
      </c>
      <c r="V175" s="2">
        <v>417870.13199999998</v>
      </c>
      <c r="W175" s="1">
        <v>64.099999999999994</v>
      </c>
      <c r="X175" s="2">
        <v>1050410.8023999997</v>
      </c>
      <c r="Y175" s="2">
        <v>71.627999999999986</v>
      </c>
      <c r="Z175" s="2">
        <v>396.23999999999995</v>
      </c>
      <c r="AA175" s="2">
        <v>1567.18</v>
      </c>
      <c r="AB175" s="2">
        <v>1826.26</v>
      </c>
      <c r="AC175" s="2">
        <v>1087.1199999999999</v>
      </c>
      <c r="AD175" s="2">
        <v>1346.1999999999998</v>
      </c>
      <c r="AE175" s="2">
        <v>336.54999999999995</v>
      </c>
      <c r="AF175" s="2">
        <v>139.69999999999999</v>
      </c>
      <c r="AG175" s="2"/>
    </row>
    <row r="176" spans="1:33" x14ac:dyDescent="0.25">
      <c r="A176" s="1" t="s">
        <v>176</v>
      </c>
      <c r="B176" s="1">
        <v>84.825344579999992</v>
      </c>
      <c r="C176" s="1">
        <v>10838.688</v>
      </c>
      <c r="D176" s="2">
        <v>416.55999999999995</v>
      </c>
      <c r="E176" s="2">
        <v>180.84799999999998</v>
      </c>
      <c r="F176" s="2">
        <v>10.921999999999999</v>
      </c>
      <c r="G176" s="2">
        <v>18.160999999999998</v>
      </c>
      <c r="H176" s="2">
        <v>28.448</v>
      </c>
      <c r="I176" s="2">
        <v>22.224999999999998</v>
      </c>
      <c r="J176" s="2">
        <v>315503420.60479999</v>
      </c>
      <c r="K176" s="2">
        <v>1720641.7199999997</v>
      </c>
      <c r="L176" s="2">
        <v>1510887.3007999999</v>
      </c>
      <c r="M176" s="2">
        <v>170.68799999999999</v>
      </c>
      <c r="N176" s="2">
        <v>17939574.443359997</v>
      </c>
      <c r="O176" s="1">
        <v>309715.50959999993</v>
      </c>
      <c r="P176" s="2">
        <v>198283.47439999998</v>
      </c>
      <c r="Q176" s="2">
        <v>40.64</v>
      </c>
      <c r="R176" s="1">
        <v>924033.76483200002</v>
      </c>
      <c r="S176" s="1">
        <v>714305404996.65527</v>
      </c>
      <c r="T176" s="1">
        <v>17999.964</v>
      </c>
      <c r="U176" s="2">
        <v>14776215.608799998</v>
      </c>
      <c r="V176" s="2">
        <v>308076.80319999997</v>
      </c>
      <c r="W176" s="1">
        <v>52</v>
      </c>
      <c r="X176" s="2">
        <v>852127.32799999998</v>
      </c>
      <c r="Y176" s="2">
        <v>48.767999999999994</v>
      </c>
      <c r="Z176" s="2">
        <v>398.78</v>
      </c>
      <c r="AA176" s="2">
        <v>1336.04</v>
      </c>
      <c r="AB176" s="2">
        <v>1516.3799999999999</v>
      </c>
      <c r="AC176" s="2">
        <v>1013.4599999999999</v>
      </c>
      <c r="AD176" s="2">
        <v>1193.8</v>
      </c>
      <c r="AE176" s="2">
        <v>346.07499999999999</v>
      </c>
      <c r="AF176" s="2">
        <v>88.899999999999991</v>
      </c>
      <c r="AG176" s="2"/>
    </row>
    <row r="177" spans="1:33" x14ac:dyDescent="0.25">
      <c r="A177" s="1" t="s">
        <v>177</v>
      </c>
      <c r="B177" s="1">
        <v>74.408197000000001</v>
      </c>
      <c r="C177" s="1">
        <v>9483.851999999999</v>
      </c>
      <c r="D177" s="2">
        <v>414.02</v>
      </c>
      <c r="E177" s="2">
        <v>179.578</v>
      </c>
      <c r="F177" s="2">
        <v>9.6519999999999992</v>
      </c>
      <c r="G177" s="2">
        <v>16.001999999999999</v>
      </c>
      <c r="H177" s="2">
        <v>26.161999999999999</v>
      </c>
      <c r="I177" s="2">
        <v>20.637499999999999</v>
      </c>
      <c r="J177" s="2">
        <v>274296509.47039998</v>
      </c>
      <c r="K177" s="2">
        <v>1507609.8879999998</v>
      </c>
      <c r="L177" s="2">
        <v>1327352.1839999999</v>
      </c>
      <c r="M177" s="2">
        <v>169.672</v>
      </c>
      <c r="N177" s="2">
        <v>15483809.03232</v>
      </c>
      <c r="O177" s="1">
        <v>267109.14319999999</v>
      </c>
      <c r="P177" s="2">
        <v>172064.17199999999</v>
      </c>
      <c r="Q177" s="2">
        <v>40.386000000000003</v>
      </c>
      <c r="R177" s="1">
        <v>632671.7669119999</v>
      </c>
      <c r="S177" s="1">
        <v>609576417046.01794</v>
      </c>
      <c r="T177" s="1">
        <v>17870.931999999997</v>
      </c>
      <c r="U177" s="2">
        <v>12819927.90848</v>
      </c>
      <c r="V177" s="2">
        <v>270386.55599999998</v>
      </c>
      <c r="W177" s="1">
        <v>45.6</v>
      </c>
      <c r="X177" s="2">
        <v>747250.11839999992</v>
      </c>
      <c r="Y177" s="2">
        <v>48.005999999999993</v>
      </c>
      <c r="Z177" s="2">
        <v>398.78</v>
      </c>
      <c r="AA177" s="2">
        <v>1328.4199999999998</v>
      </c>
      <c r="AB177" s="2">
        <v>1508.76</v>
      </c>
      <c r="AC177" s="2">
        <v>1008.38</v>
      </c>
      <c r="AD177" s="2">
        <v>1186.18</v>
      </c>
      <c r="AE177" s="2">
        <v>346.07499999999999</v>
      </c>
      <c r="AF177" s="2">
        <v>88.899999999999991</v>
      </c>
      <c r="AG177" s="2"/>
    </row>
    <row r="178" spans="1:33" x14ac:dyDescent="0.25">
      <c r="A178" s="1" t="s">
        <v>178</v>
      </c>
      <c r="B178" s="1">
        <v>66.967377299999995</v>
      </c>
      <c r="C178" s="1">
        <v>8580.6280000000006</v>
      </c>
      <c r="D178" s="2">
        <v>408.94</v>
      </c>
      <c r="E178" s="2">
        <v>178.816</v>
      </c>
      <c r="F178" s="2">
        <v>8.7629999999999981</v>
      </c>
      <c r="G178" s="2">
        <v>14.350999999999997</v>
      </c>
      <c r="H178" s="2">
        <v>24.561799999999998</v>
      </c>
      <c r="I178" s="2">
        <v>20.637499999999999</v>
      </c>
      <c r="J178" s="2">
        <v>243911615.40159997</v>
      </c>
      <c r="K178" s="2">
        <v>1348655.3671999997</v>
      </c>
      <c r="L178" s="2">
        <v>1191339.5527999999</v>
      </c>
      <c r="M178" s="2">
        <v>168.91</v>
      </c>
      <c r="N178" s="2">
        <v>13652390.759679997</v>
      </c>
      <c r="O178" s="1">
        <v>237612.42799999999</v>
      </c>
      <c r="P178" s="2">
        <v>153055.17775999999</v>
      </c>
      <c r="Q178" s="2">
        <v>39.878</v>
      </c>
      <c r="R178" s="1">
        <v>462016.88241600001</v>
      </c>
      <c r="S178" s="1">
        <v>534386374414.79102</v>
      </c>
      <c r="T178" s="1">
        <v>17612.867999999999</v>
      </c>
      <c r="U178" s="2">
        <v>11321494.776319999</v>
      </c>
      <c r="V178" s="2">
        <v>240889.84079999998</v>
      </c>
      <c r="W178" s="1">
        <v>40.6</v>
      </c>
      <c r="X178" s="2">
        <v>665314.79839999997</v>
      </c>
      <c r="Y178" s="2">
        <v>47.497999999999998</v>
      </c>
      <c r="Z178" s="2">
        <v>393.7</v>
      </c>
      <c r="AA178" s="2">
        <v>1320.8</v>
      </c>
      <c r="AB178" s="2">
        <v>1498.6</v>
      </c>
      <c r="AC178" s="2">
        <v>995.68000000000006</v>
      </c>
      <c r="AD178" s="2">
        <v>1176.0199999999998</v>
      </c>
      <c r="AE178" s="2">
        <v>346.07499999999999</v>
      </c>
      <c r="AF178" s="2">
        <v>88.899999999999991</v>
      </c>
      <c r="AG178" s="2"/>
    </row>
    <row r="179" spans="1:33" x14ac:dyDescent="0.25">
      <c r="A179" s="1" t="s">
        <v>179</v>
      </c>
      <c r="B179" s="1">
        <v>59.526557599999997</v>
      </c>
      <c r="C179" s="1">
        <v>7612.8879999999999</v>
      </c>
      <c r="D179" s="2">
        <v>406.4</v>
      </c>
      <c r="E179" s="2">
        <v>177.79999999999998</v>
      </c>
      <c r="F179" s="2">
        <v>7.746999999999999</v>
      </c>
      <c r="G179" s="2">
        <v>12.827</v>
      </c>
      <c r="H179" s="2">
        <v>23.037800000000001</v>
      </c>
      <c r="I179" s="2">
        <v>20.637499999999999</v>
      </c>
      <c r="J179" s="2">
        <v>215607878.46079999</v>
      </c>
      <c r="K179" s="2">
        <v>1196255.6719999998</v>
      </c>
      <c r="L179" s="2">
        <v>1060243.0407999998</v>
      </c>
      <c r="M179" s="2">
        <v>168.40199999999999</v>
      </c>
      <c r="N179" s="2">
        <v>12029088.199839998</v>
      </c>
      <c r="O179" s="1">
        <v>208115.71279999998</v>
      </c>
      <c r="P179" s="2">
        <v>135193.27799999999</v>
      </c>
      <c r="Q179" s="2">
        <v>39.878</v>
      </c>
      <c r="R179" s="1">
        <v>330487.7519264</v>
      </c>
      <c r="S179" s="1">
        <v>464567049114.36603</v>
      </c>
      <c r="T179" s="1">
        <v>17483.835999999999</v>
      </c>
      <c r="U179" s="2">
        <v>9989554.214399999</v>
      </c>
      <c r="V179" s="2">
        <v>214670.53839999996</v>
      </c>
      <c r="W179" s="1">
        <v>36</v>
      </c>
      <c r="X179" s="2">
        <v>589934.304</v>
      </c>
      <c r="Y179" s="2">
        <v>47.244</v>
      </c>
      <c r="Z179" s="2">
        <v>393.7</v>
      </c>
      <c r="AA179" s="2">
        <v>1313.18</v>
      </c>
      <c r="AB179" s="2">
        <v>1490.98</v>
      </c>
      <c r="AC179" s="2">
        <v>990.59999999999991</v>
      </c>
      <c r="AD179" s="2">
        <v>1168.3999999999999</v>
      </c>
      <c r="AE179" s="2">
        <v>346.07499999999999</v>
      </c>
      <c r="AF179" s="2">
        <v>88.899999999999991</v>
      </c>
      <c r="AG179" s="2"/>
    </row>
    <row r="180" spans="1:33" x14ac:dyDescent="0.25">
      <c r="A180" s="1" t="s">
        <v>180</v>
      </c>
      <c r="B180" s="1">
        <v>53.573901839999998</v>
      </c>
      <c r="C180" s="1">
        <v>6838.695999999999</v>
      </c>
      <c r="D180" s="2">
        <v>403.86</v>
      </c>
      <c r="E180" s="2">
        <v>177.54599999999999</v>
      </c>
      <c r="F180" s="2">
        <v>7.4929999999999994</v>
      </c>
      <c r="G180" s="2">
        <v>10.921999999999999</v>
      </c>
      <c r="H180" s="2">
        <v>21.1328</v>
      </c>
      <c r="I180" s="2">
        <v>19.049999999999997</v>
      </c>
      <c r="J180" s="2">
        <v>186471678.6688</v>
      </c>
      <c r="K180" s="2">
        <v>1048772.0959999999</v>
      </c>
      <c r="L180" s="2">
        <v>925869.11599999992</v>
      </c>
      <c r="M180" s="2">
        <v>165.35399999999998</v>
      </c>
      <c r="N180" s="2">
        <v>10197669.927199999</v>
      </c>
      <c r="O180" s="1">
        <v>176980.29120000001</v>
      </c>
      <c r="P180" s="2">
        <v>114709.44799999999</v>
      </c>
      <c r="Q180" s="2">
        <v>38.607999999999997</v>
      </c>
      <c r="R180" s="1">
        <v>226846.12695199999</v>
      </c>
      <c r="S180" s="1">
        <v>392062365148.54016</v>
      </c>
      <c r="T180" s="1">
        <v>17419.32</v>
      </c>
      <c r="U180" s="2">
        <v>8449497.9396799989</v>
      </c>
      <c r="V180" s="2">
        <v>181896.41039999996</v>
      </c>
      <c r="W180" s="1">
        <v>31.6</v>
      </c>
      <c r="X180" s="2">
        <v>517831.22239999997</v>
      </c>
      <c r="Y180" s="2">
        <v>46.481999999999999</v>
      </c>
      <c r="Z180" s="2">
        <v>393.7</v>
      </c>
      <c r="AA180" s="2">
        <v>1308.0999999999999</v>
      </c>
      <c r="AB180" s="2">
        <v>1485.8999999999999</v>
      </c>
      <c r="AC180" s="2">
        <v>985.51999999999987</v>
      </c>
      <c r="AD180" s="2">
        <v>1163.32</v>
      </c>
      <c r="AE180" s="2">
        <v>346.07499999999999</v>
      </c>
      <c r="AF180" s="2">
        <v>88.899999999999991</v>
      </c>
      <c r="AG180" s="2"/>
    </row>
    <row r="181" spans="1:33" x14ac:dyDescent="0.25">
      <c r="A181" s="1" t="s">
        <v>181</v>
      </c>
      <c r="B181" s="1">
        <v>46.133082139999999</v>
      </c>
      <c r="C181" s="1">
        <v>5890.3108000000002</v>
      </c>
      <c r="D181" s="2">
        <v>403.86</v>
      </c>
      <c r="E181" s="2">
        <v>140.46199999999999</v>
      </c>
      <c r="F181" s="2">
        <v>6.9850000000000003</v>
      </c>
      <c r="G181" s="2">
        <v>11.176</v>
      </c>
      <c r="H181" s="2">
        <v>21.386799999999997</v>
      </c>
      <c r="I181" s="2">
        <v>19.049999999999997</v>
      </c>
      <c r="J181" s="2">
        <v>156086784.59999999</v>
      </c>
      <c r="K181" s="2">
        <v>884901.45599999989</v>
      </c>
      <c r="L181" s="2">
        <v>773469.42079999996</v>
      </c>
      <c r="M181" s="2">
        <v>162.81399999999999</v>
      </c>
      <c r="N181" s="2">
        <v>5161269.6774399998</v>
      </c>
      <c r="O181" s="1">
        <v>115201.05992</v>
      </c>
      <c r="P181" s="2">
        <v>73577.917359999992</v>
      </c>
      <c r="Q181" s="2">
        <v>29.717999999999996</v>
      </c>
      <c r="R181" s="1">
        <v>191882.6872016</v>
      </c>
      <c r="S181" s="1">
        <v>198448005373.13092</v>
      </c>
      <c r="T181" s="1">
        <v>13806.423999999999</v>
      </c>
      <c r="U181" s="2">
        <v>5411008.5327999992</v>
      </c>
      <c r="V181" s="2">
        <v>146500.35215999998</v>
      </c>
      <c r="W181" s="1">
        <v>26.6</v>
      </c>
      <c r="X181" s="2">
        <v>435895.90239999996</v>
      </c>
      <c r="Y181" s="2">
        <v>36.067999999999998</v>
      </c>
      <c r="Z181" s="2">
        <v>393.7</v>
      </c>
      <c r="AA181" s="2">
        <v>1198.8800000000001</v>
      </c>
      <c r="AB181" s="2">
        <v>1338.58</v>
      </c>
      <c r="AC181" s="2">
        <v>947.41999999999985</v>
      </c>
      <c r="AD181" s="2">
        <v>1089.6599999999999</v>
      </c>
      <c r="AE181" s="2">
        <v>346.07499999999999</v>
      </c>
      <c r="AF181" s="2">
        <v>88.899999999999991</v>
      </c>
      <c r="AG181" s="2"/>
    </row>
    <row r="182" spans="1:33" x14ac:dyDescent="0.25">
      <c r="A182" s="1" t="s">
        <v>182</v>
      </c>
      <c r="B182" s="1">
        <v>38.69226244</v>
      </c>
      <c r="C182" s="1">
        <v>4954.8287999999993</v>
      </c>
      <c r="D182" s="2">
        <v>398.78</v>
      </c>
      <c r="E182" s="2">
        <v>139.69999999999999</v>
      </c>
      <c r="F182" s="2">
        <v>6.35</v>
      </c>
      <c r="G182" s="2">
        <v>8.7629999999999981</v>
      </c>
      <c r="H182" s="2">
        <v>18.973799999999997</v>
      </c>
      <c r="I182" s="2">
        <v>19.049999999999997</v>
      </c>
      <c r="J182" s="2">
        <v>125285659.10559998</v>
      </c>
      <c r="K182" s="2">
        <v>724308.22879999992</v>
      </c>
      <c r="L182" s="2">
        <v>629263.2575999999</v>
      </c>
      <c r="M182" s="2">
        <v>159.00399999999999</v>
      </c>
      <c r="N182" s="2">
        <v>3991659.3715039995</v>
      </c>
      <c r="O182" s="1">
        <v>89801.110719999997</v>
      </c>
      <c r="P182" s="2">
        <v>57190.853360000001</v>
      </c>
      <c r="Q182" s="2">
        <v>28.448</v>
      </c>
      <c r="R182" s="1">
        <v>109052.63350719999</v>
      </c>
      <c r="S182" s="1">
        <v>151722764595.15424</v>
      </c>
      <c r="T182" s="1">
        <v>13612.876</v>
      </c>
      <c r="U182" s="2">
        <v>4162314.2559999996</v>
      </c>
      <c r="V182" s="2">
        <v>113890.09479999999</v>
      </c>
      <c r="W182" s="1">
        <v>21.6</v>
      </c>
      <c r="X182" s="2">
        <v>353960.58240000001</v>
      </c>
      <c r="Y182" s="2">
        <v>35.051999999999992</v>
      </c>
      <c r="Z182" s="2">
        <v>391.15999999999997</v>
      </c>
      <c r="AA182" s="2">
        <v>1186.18</v>
      </c>
      <c r="AB182" s="2">
        <v>1325.88</v>
      </c>
      <c r="AC182" s="2">
        <v>937.25999999999988</v>
      </c>
      <c r="AD182" s="2">
        <v>1076.9599999999998</v>
      </c>
      <c r="AE182" s="2">
        <v>346.07499999999999</v>
      </c>
      <c r="AF182" s="2">
        <v>88.899999999999991</v>
      </c>
      <c r="AG182" s="2"/>
    </row>
    <row r="183" spans="1:33" x14ac:dyDescent="0.25">
      <c r="A183" s="1" t="s">
        <v>183</v>
      </c>
      <c r="B183" s="1">
        <v>1299.16711962</v>
      </c>
      <c r="C183" s="1">
        <v>165806.12</v>
      </c>
      <c r="D183" s="2">
        <v>599.44000000000005</v>
      </c>
      <c r="E183" s="2">
        <v>477.52</v>
      </c>
      <c r="F183" s="2">
        <v>100.07599999999999</v>
      </c>
      <c r="G183" s="2">
        <v>139.95399999999998</v>
      </c>
      <c r="H183" s="2">
        <v>154.93999999999997</v>
      </c>
      <c r="I183" s="2">
        <v>65.087499999999991</v>
      </c>
      <c r="J183" s="2">
        <v>7533788803.3599997</v>
      </c>
      <c r="K183" s="2">
        <v>33265739.919999998</v>
      </c>
      <c r="L183" s="2">
        <v>25072207.919999998</v>
      </c>
      <c r="M183" s="2">
        <v>213.10599999999999</v>
      </c>
      <c r="N183" s="2">
        <v>2568147895.9519997</v>
      </c>
      <c r="O183" s="1">
        <v>16714805.279999999</v>
      </c>
      <c r="P183" s="2">
        <v>10749913.983999999</v>
      </c>
      <c r="Q183" s="2">
        <v>124.46000000000001</v>
      </c>
      <c r="R183" s="1">
        <v>944845336.11199987</v>
      </c>
      <c r="S183" s="1">
        <v>135610612602748.47</v>
      </c>
      <c r="T183" s="1">
        <v>54838.6</v>
      </c>
      <c r="U183" s="2">
        <v>915709136.31999993</v>
      </c>
      <c r="V183" s="2">
        <v>6063213.6799999997</v>
      </c>
      <c r="W183" s="1">
        <v>1010</v>
      </c>
      <c r="X183" s="2">
        <v>16550934.639999999</v>
      </c>
      <c r="Y183" s="2">
        <v>153.416</v>
      </c>
      <c r="Z183" s="2">
        <v>459.74</v>
      </c>
      <c r="AA183" s="2">
        <v>2418.08</v>
      </c>
      <c r="AB183" s="2">
        <v>2895.6</v>
      </c>
      <c r="AC183" s="2">
        <v>1676.3999999999999</v>
      </c>
      <c r="AD183" s="2">
        <v>2153.9199999999996</v>
      </c>
      <c r="AE183" s="2">
        <v>285.75</v>
      </c>
      <c r="AF183" s="2">
        <v>215.89999999999998</v>
      </c>
      <c r="AG183" s="2">
        <v>76.199999999999989</v>
      </c>
    </row>
    <row r="184" spans="1:33" x14ac:dyDescent="0.25">
      <c r="A184" s="1" t="s">
        <v>184</v>
      </c>
      <c r="B184" s="1">
        <v>1202.43646352</v>
      </c>
      <c r="C184" s="1">
        <v>153548.07999999999</v>
      </c>
      <c r="D184" s="2">
        <v>579.12</v>
      </c>
      <c r="E184" s="2">
        <v>472.44</v>
      </c>
      <c r="F184" s="2">
        <v>94.995999999999995</v>
      </c>
      <c r="G184" s="2">
        <v>130.048</v>
      </c>
      <c r="H184" s="2">
        <v>145.03399999999999</v>
      </c>
      <c r="I184" s="2">
        <v>63.5</v>
      </c>
      <c r="J184" s="2">
        <v>6618079667.039999</v>
      </c>
      <c r="K184" s="2">
        <v>29988327.119999997</v>
      </c>
      <c r="L184" s="2">
        <v>22778018.959999997</v>
      </c>
      <c r="M184" s="2">
        <v>207.518</v>
      </c>
      <c r="N184" s="2">
        <v>2310084412.0799999</v>
      </c>
      <c r="O184" s="1">
        <v>15239969.519999998</v>
      </c>
      <c r="P184" s="2">
        <v>9783077.2079999987</v>
      </c>
      <c r="Q184" s="2">
        <v>122.68199999999999</v>
      </c>
      <c r="R184" s="1">
        <v>765865823.10399997</v>
      </c>
      <c r="S184" s="1">
        <v>116544566078401.66</v>
      </c>
      <c r="T184" s="1">
        <v>53032.152000000002</v>
      </c>
      <c r="U184" s="2">
        <v>815813594.17599988</v>
      </c>
      <c r="V184" s="2">
        <v>5506053.5039999997</v>
      </c>
      <c r="W184" s="1">
        <v>916</v>
      </c>
      <c r="X184" s="2">
        <v>15010550.623999998</v>
      </c>
      <c r="Y184" s="2">
        <v>150.876</v>
      </c>
      <c r="Z184" s="2">
        <v>449.58</v>
      </c>
      <c r="AA184" s="2">
        <v>2372.36</v>
      </c>
      <c r="AB184" s="2">
        <v>2844.7999999999997</v>
      </c>
      <c r="AC184" s="2">
        <v>1630.68</v>
      </c>
      <c r="AD184" s="2">
        <v>2103.12</v>
      </c>
      <c r="AE184" s="2">
        <v>285.75</v>
      </c>
      <c r="AF184" s="2">
        <v>215.89999999999998</v>
      </c>
      <c r="AG184" s="2">
        <v>76.199999999999989</v>
      </c>
    </row>
    <row r="185" spans="1:33" x14ac:dyDescent="0.25">
      <c r="A185" s="1" t="s">
        <v>185</v>
      </c>
      <c r="B185" s="1">
        <v>1086.3596762</v>
      </c>
      <c r="C185" s="1">
        <v>138709.4</v>
      </c>
      <c r="D185" s="2">
        <v>568.95999999999992</v>
      </c>
      <c r="E185" s="2">
        <v>454.65999999999991</v>
      </c>
      <c r="F185" s="2">
        <v>77.977999999999994</v>
      </c>
      <c r="G185" s="2">
        <v>124.714</v>
      </c>
      <c r="H185" s="2">
        <v>139.95399999999998</v>
      </c>
      <c r="I185" s="2">
        <v>69.849999999999994</v>
      </c>
      <c r="J185" s="2">
        <v>5952109386.079999</v>
      </c>
      <c r="K185" s="2">
        <v>27202526.239999998</v>
      </c>
      <c r="L185" s="2">
        <v>20975441.919999998</v>
      </c>
      <c r="M185" s="2">
        <v>207.518</v>
      </c>
      <c r="N185" s="2">
        <v>1964612328.8319998</v>
      </c>
      <c r="O185" s="1">
        <v>13371844.223999999</v>
      </c>
      <c r="P185" s="2">
        <v>8635982.7280000001</v>
      </c>
      <c r="Q185" s="2">
        <v>119.126</v>
      </c>
      <c r="R185" s="1">
        <v>603535567.11999989</v>
      </c>
      <c r="S185" s="1">
        <v>97209983687514.75</v>
      </c>
      <c r="T185" s="1">
        <v>50516.027999999998</v>
      </c>
      <c r="U185" s="2">
        <v>715918052.03199995</v>
      </c>
      <c r="V185" s="2">
        <v>5211086.352</v>
      </c>
      <c r="W185" s="1">
        <v>829</v>
      </c>
      <c r="X185" s="2">
        <v>13584876.055999998</v>
      </c>
      <c r="Y185" s="2">
        <v>144.27199999999999</v>
      </c>
      <c r="Z185" s="2">
        <v>444.5</v>
      </c>
      <c r="AA185" s="2">
        <v>2313.9399999999996</v>
      </c>
      <c r="AB185" s="2">
        <v>2768.6</v>
      </c>
      <c r="AC185" s="2">
        <v>1592.58</v>
      </c>
      <c r="AD185" s="2">
        <v>2047.2399999999998</v>
      </c>
      <c r="AE185" s="2">
        <v>254</v>
      </c>
      <c r="AF185" s="2">
        <v>190.5</v>
      </c>
      <c r="AG185" s="2">
        <v>76.199999999999989</v>
      </c>
    </row>
    <row r="186" spans="1:33" x14ac:dyDescent="0.25">
      <c r="A186" s="1" t="s">
        <v>186</v>
      </c>
      <c r="B186" s="1">
        <v>989.62902009999993</v>
      </c>
      <c r="C186" s="1">
        <v>126451.36</v>
      </c>
      <c r="D186" s="2">
        <v>548.64</v>
      </c>
      <c r="E186" s="2">
        <v>449.58</v>
      </c>
      <c r="F186" s="2">
        <v>71.881999999999991</v>
      </c>
      <c r="G186" s="2">
        <v>114.80799999999998</v>
      </c>
      <c r="H186" s="2">
        <v>130.048</v>
      </c>
      <c r="I186" s="2">
        <v>66.674999999999997</v>
      </c>
      <c r="J186" s="2">
        <v>5161269677.4399996</v>
      </c>
      <c r="K186" s="2">
        <v>24252854.719999999</v>
      </c>
      <c r="L186" s="2">
        <v>18845123.599999998</v>
      </c>
      <c r="M186" s="2">
        <v>202.69200000000001</v>
      </c>
      <c r="N186" s="2">
        <v>1735685044.7519999</v>
      </c>
      <c r="O186" s="1">
        <v>11962556.719999999</v>
      </c>
      <c r="P186" s="2">
        <v>7734694.2079999996</v>
      </c>
      <c r="Q186" s="2">
        <v>117.348</v>
      </c>
      <c r="R186" s="1">
        <v>466179196.67199993</v>
      </c>
      <c r="S186" s="1">
        <v>81903439294729.281</v>
      </c>
      <c r="T186" s="1">
        <v>48774.09599999999</v>
      </c>
      <c r="U186" s="2">
        <v>628509452.6559999</v>
      </c>
      <c r="V186" s="2">
        <v>4703087.3679999998</v>
      </c>
      <c r="W186" s="1">
        <v>739</v>
      </c>
      <c r="X186" s="2">
        <v>12110040.295999998</v>
      </c>
      <c r="Y186" s="2">
        <v>141.47800000000001</v>
      </c>
      <c r="Z186" s="2">
        <v>434.34000000000003</v>
      </c>
      <c r="AA186" s="2">
        <v>2268.2199999999998</v>
      </c>
      <c r="AB186" s="2">
        <v>2717.7999999999997</v>
      </c>
      <c r="AC186" s="2">
        <v>1546.86</v>
      </c>
      <c r="AD186" s="2">
        <v>1996.4399999999998</v>
      </c>
      <c r="AE186" s="2">
        <v>254</v>
      </c>
      <c r="AF186" s="2">
        <v>190.5</v>
      </c>
      <c r="AG186" s="2">
        <v>76.199999999999989</v>
      </c>
    </row>
    <row r="187" spans="1:33" x14ac:dyDescent="0.25">
      <c r="A187" s="1" t="s">
        <v>187</v>
      </c>
      <c r="B187" s="1">
        <v>900.33918369999992</v>
      </c>
      <c r="C187" s="1">
        <v>114838.48</v>
      </c>
      <c r="D187" s="2">
        <v>530.8599999999999</v>
      </c>
      <c r="E187" s="2">
        <v>441.95999999999992</v>
      </c>
      <c r="F187" s="2">
        <v>66.039999999999992</v>
      </c>
      <c r="G187" s="2">
        <v>105.664</v>
      </c>
      <c r="H187" s="2">
        <v>120.90399999999998</v>
      </c>
      <c r="I187" s="2">
        <v>63.5</v>
      </c>
      <c r="J187" s="2">
        <v>4495299396.4799995</v>
      </c>
      <c r="K187" s="2">
        <v>21630924.479999997</v>
      </c>
      <c r="L187" s="2">
        <v>17042546.559999999</v>
      </c>
      <c r="M187" s="2">
        <v>198.11999999999998</v>
      </c>
      <c r="N187" s="2">
        <v>1531731646.2079999</v>
      </c>
      <c r="O187" s="1">
        <v>10684365.727999998</v>
      </c>
      <c r="P187" s="2">
        <v>6931728.0719999997</v>
      </c>
      <c r="Q187" s="2">
        <v>115.57</v>
      </c>
      <c r="R187" s="1">
        <v>361705108.84639996</v>
      </c>
      <c r="S187" s="1">
        <v>69282253567344.766</v>
      </c>
      <c r="T187" s="1">
        <v>46967.647999999994</v>
      </c>
      <c r="U187" s="2">
        <v>549425481.79199994</v>
      </c>
      <c r="V187" s="2">
        <v>4227862.5119999992</v>
      </c>
      <c r="W187" s="1">
        <v>657</v>
      </c>
      <c r="X187" s="2">
        <v>10766301.047999999</v>
      </c>
      <c r="Y187" s="2">
        <v>138.17600000000002</v>
      </c>
      <c r="Z187" s="2">
        <v>424.17999999999995</v>
      </c>
      <c r="AA187" s="2">
        <v>2225.0399999999995</v>
      </c>
      <c r="AB187" s="2">
        <v>2667</v>
      </c>
      <c r="AC187" s="2">
        <v>1503.68</v>
      </c>
      <c r="AD187" s="2">
        <v>1945.6399999999996</v>
      </c>
      <c r="AE187" s="2">
        <v>254</v>
      </c>
      <c r="AF187" s="2">
        <v>190.5</v>
      </c>
      <c r="AG187" s="2">
        <v>76.199999999999989</v>
      </c>
    </row>
    <row r="188" spans="1:33" x14ac:dyDescent="0.25">
      <c r="A188" s="1" t="s">
        <v>188</v>
      </c>
      <c r="B188" s="1">
        <v>818.49016699999993</v>
      </c>
      <c r="C188" s="1">
        <v>104515.92</v>
      </c>
      <c r="D188" s="2">
        <v>513.07999999999993</v>
      </c>
      <c r="E188" s="2">
        <v>436.87999999999994</v>
      </c>
      <c r="F188" s="2">
        <v>60.451999999999991</v>
      </c>
      <c r="G188" s="2">
        <v>97.027999999999992</v>
      </c>
      <c r="H188" s="2">
        <v>112.26799999999999</v>
      </c>
      <c r="I188" s="2">
        <v>60.324999999999996</v>
      </c>
      <c r="J188" s="2">
        <v>3925062343.4079995</v>
      </c>
      <c r="K188" s="2">
        <v>19336735.52</v>
      </c>
      <c r="L188" s="2">
        <v>15256356.583999999</v>
      </c>
      <c r="M188" s="2">
        <v>193.80199999999999</v>
      </c>
      <c r="N188" s="2">
        <v>1352752133.1999998</v>
      </c>
      <c r="O188" s="1">
        <v>9553658.311999999</v>
      </c>
      <c r="P188" s="2">
        <v>6194310.1919999998</v>
      </c>
      <c r="Q188" s="2">
        <v>114.04599999999999</v>
      </c>
      <c r="R188" s="1">
        <v>278458823.72639996</v>
      </c>
      <c r="S188" s="1">
        <v>58809354772281.023</v>
      </c>
      <c r="T188" s="1">
        <v>45419.264000000003</v>
      </c>
      <c r="U188" s="2">
        <v>482828453.69599998</v>
      </c>
      <c r="V188" s="2">
        <v>3801798.8479999998</v>
      </c>
      <c r="W188" s="1">
        <v>585</v>
      </c>
      <c r="X188" s="2">
        <v>9586432.4399999995</v>
      </c>
      <c r="Y188" s="2">
        <v>135.88999999999999</v>
      </c>
      <c r="Z188" s="2">
        <v>416.55999999999995</v>
      </c>
      <c r="AA188" s="2">
        <v>2179.3199999999997</v>
      </c>
      <c r="AB188" s="2">
        <v>2616.1999999999998</v>
      </c>
      <c r="AC188" s="2">
        <v>1463.04</v>
      </c>
      <c r="AD188" s="2">
        <v>1899.9199999999998</v>
      </c>
      <c r="AE188" s="2">
        <v>254</v>
      </c>
      <c r="AF188" s="2">
        <v>190.5</v>
      </c>
      <c r="AG188" s="2">
        <v>76.199999999999989</v>
      </c>
    </row>
    <row r="189" spans="1:33" x14ac:dyDescent="0.25">
      <c r="A189" s="1" t="s">
        <v>189</v>
      </c>
      <c r="B189" s="1">
        <v>744.08196999999996</v>
      </c>
      <c r="C189" s="1">
        <v>94838.51999999999</v>
      </c>
      <c r="D189" s="2">
        <v>497.84000000000003</v>
      </c>
      <c r="E189" s="2">
        <v>431.79999999999995</v>
      </c>
      <c r="F189" s="2">
        <v>55.625999999999998</v>
      </c>
      <c r="G189" s="2">
        <v>88.899999999999991</v>
      </c>
      <c r="H189" s="2">
        <v>104.13999999999999</v>
      </c>
      <c r="I189" s="2">
        <v>58.737499999999997</v>
      </c>
      <c r="J189" s="2">
        <v>3417260004.1759996</v>
      </c>
      <c r="K189" s="2">
        <v>17206417.199999999</v>
      </c>
      <c r="L189" s="2">
        <v>13732359.631999999</v>
      </c>
      <c r="M189" s="2">
        <v>189.99199999999999</v>
      </c>
      <c r="N189" s="2">
        <v>1198746505.7279999</v>
      </c>
      <c r="O189" s="1">
        <v>8554047.4079999998</v>
      </c>
      <c r="P189" s="2">
        <v>5555214.6959999995</v>
      </c>
      <c r="Q189" s="2">
        <v>112.52199999999999</v>
      </c>
      <c r="R189" s="1">
        <v>213942952.75839999</v>
      </c>
      <c r="S189" s="1">
        <v>50216207042997.945</v>
      </c>
      <c r="T189" s="1">
        <v>44128.944000000003</v>
      </c>
      <c r="U189" s="2">
        <v>424556054.11199993</v>
      </c>
      <c r="V189" s="2">
        <v>3424896.3759999997</v>
      </c>
      <c r="W189" s="1">
        <v>522</v>
      </c>
      <c r="X189" s="2">
        <v>8554047.4079999998</v>
      </c>
      <c r="Y189" s="2">
        <v>133.60399999999998</v>
      </c>
      <c r="Z189" s="2">
        <v>408.94</v>
      </c>
      <c r="AA189" s="2">
        <v>2159</v>
      </c>
      <c r="AB189" s="2">
        <v>2590.7999999999997</v>
      </c>
      <c r="AC189" s="2">
        <v>1427.48</v>
      </c>
      <c r="AD189" s="2">
        <v>1859.28</v>
      </c>
      <c r="AE189" s="2">
        <v>254</v>
      </c>
      <c r="AF189" s="2">
        <v>190.5</v>
      </c>
      <c r="AG189" s="2">
        <v>76.199999999999989</v>
      </c>
    </row>
    <row r="190" spans="1:33" x14ac:dyDescent="0.25">
      <c r="A190" s="1" t="s">
        <v>190</v>
      </c>
      <c r="B190" s="1">
        <v>677.1145927</v>
      </c>
      <c r="C190" s="1">
        <v>86451.44</v>
      </c>
      <c r="D190" s="2">
        <v>482.59999999999997</v>
      </c>
      <c r="E190" s="2">
        <v>426.71999999999997</v>
      </c>
      <c r="F190" s="2">
        <v>51.308</v>
      </c>
      <c r="G190" s="2">
        <v>81.533999999999992</v>
      </c>
      <c r="H190" s="2">
        <v>96.774000000000001</v>
      </c>
      <c r="I190" s="2">
        <v>57.15</v>
      </c>
      <c r="J190" s="2">
        <v>2992703950.0639997</v>
      </c>
      <c r="K190" s="2">
        <v>15338291.903999999</v>
      </c>
      <c r="L190" s="2">
        <v>12388620.384</v>
      </c>
      <c r="M190" s="2">
        <v>186.18199999999999</v>
      </c>
      <c r="N190" s="2">
        <v>1065552449.5359999</v>
      </c>
      <c r="O190" s="1">
        <v>7669145.9519999996</v>
      </c>
      <c r="P190" s="2">
        <v>4981667.4559999993</v>
      </c>
      <c r="Q190" s="2">
        <v>111.252</v>
      </c>
      <c r="R190" s="1">
        <v>164411413.11199999</v>
      </c>
      <c r="S190" s="1">
        <v>42965738646415.359</v>
      </c>
      <c r="T190" s="1">
        <v>42774.107999999993</v>
      </c>
      <c r="U190" s="2">
        <v>372110894.48639995</v>
      </c>
      <c r="V190" s="2">
        <v>3064380.9679999999</v>
      </c>
      <c r="W190" s="1">
        <v>466</v>
      </c>
      <c r="X190" s="2">
        <v>7636371.8239999991</v>
      </c>
      <c r="Y190" s="2">
        <v>131.31799999999998</v>
      </c>
      <c r="Z190" s="2">
        <v>401.32</v>
      </c>
      <c r="AA190" s="2">
        <v>2113.2799999999997</v>
      </c>
      <c r="AB190" s="2">
        <v>2540</v>
      </c>
      <c r="AC190" s="2">
        <v>1391.9199999999998</v>
      </c>
      <c r="AD190" s="2">
        <v>1818.6399999999996</v>
      </c>
      <c r="AE190" s="2">
        <v>254</v>
      </c>
      <c r="AF190" s="2">
        <v>190.5</v>
      </c>
      <c r="AG190" s="2">
        <v>76.199999999999989</v>
      </c>
    </row>
    <row r="191" spans="1:33" x14ac:dyDescent="0.25">
      <c r="A191" s="1" t="s">
        <v>191</v>
      </c>
      <c r="B191" s="1">
        <v>633.95783843999993</v>
      </c>
      <c r="C191" s="1">
        <v>80645</v>
      </c>
      <c r="D191" s="2">
        <v>474.97999999999996</v>
      </c>
      <c r="E191" s="2">
        <v>424.17999999999995</v>
      </c>
      <c r="F191" s="2">
        <v>47.751999999999995</v>
      </c>
      <c r="G191" s="2">
        <v>77.215999999999994</v>
      </c>
      <c r="H191" s="2">
        <v>92.201999999999998</v>
      </c>
      <c r="I191" s="2">
        <v>53.974999999999994</v>
      </c>
      <c r="J191" s="2">
        <v>2747127408.9599996</v>
      </c>
      <c r="K191" s="2">
        <v>14240358.615999999</v>
      </c>
      <c r="L191" s="2">
        <v>11569267.183999998</v>
      </c>
      <c r="M191" s="2">
        <v>184.404</v>
      </c>
      <c r="N191" s="2">
        <v>982306164.41599989</v>
      </c>
      <c r="O191" s="1">
        <v>7111985.7759999996</v>
      </c>
      <c r="P191" s="2">
        <v>4637539.1119999997</v>
      </c>
      <c r="Q191" s="2">
        <v>110.23599999999999</v>
      </c>
      <c r="R191" s="1">
        <v>137772601.87359998</v>
      </c>
      <c r="S191" s="1">
        <v>38669164781773.82</v>
      </c>
      <c r="T191" s="1">
        <v>42193.464</v>
      </c>
      <c r="U191" s="2">
        <v>345472083.24799997</v>
      </c>
      <c r="V191" s="2">
        <v>2884123.2639999995</v>
      </c>
      <c r="W191" s="1">
        <v>435</v>
      </c>
      <c r="X191" s="2">
        <v>7128372.8399999989</v>
      </c>
      <c r="Y191" s="2">
        <v>129.79400000000001</v>
      </c>
      <c r="Z191" s="2">
        <v>398.78</v>
      </c>
      <c r="AA191" s="2">
        <v>2100.58</v>
      </c>
      <c r="AB191" s="2">
        <v>2524.7600000000002</v>
      </c>
      <c r="AC191" s="2">
        <v>1374.1399999999999</v>
      </c>
      <c r="AD191" s="2">
        <v>1798.32</v>
      </c>
      <c r="AE191" s="2">
        <v>254</v>
      </c>
      <c r="AF191" s="2">
        <v>190.5</v>
      </c>
      <c r="AG191" s="2">
        <v>76.199999999999989</v>
      </c>
    </row>
    <row r="192" spans="1:33" x14ac:dyDescent="0.25">
      <c r="A192" s="1" t="s">
        <v>192</v>
      </c>
      <c r="B192" s="1">
        <v>592.28924812000002</v>
      </c>
      <c r="C192" s="1">
        <v>75483.72</v>
      </c>
      <c r="D192" s="2">
        <v>464.82</v>
      </c>
      <c r="E192" s="2">
        <v>421.64</v>
      </c>
      <c r="F192" s="2">
        <v>44.957999999999998</v>
      </c>
      <c r="G192" s="2">
        <v>72.39</v>
      </c>
      <c r="H192" s="2">
        <v>87.375999999999991</v>
      </c>
      <c r="I192" s="2">
        <v>53.974999999999994</v>
      </c>
      <c r="J192" s="2">
        <v>2497388553.5999999</v>
      </c>
      <c r="K192" s="2">
        <v>13126038.263999999</v>
      </c>
      <c r="L192" s="2">
        <v>10749913.983999999</v>
      </c>
      <c r="M192" s="2">
        <v>181.864</v>
      </c>
      <c r="N192" s="2">
        <v>903222193.55199993</v>
      </c>
      <c r="O192" s="1">
        <v>6587599.7279999992</v>
      </c>
      <c r="P192" s="2">
        <v>4293410.7679999992</v>
      </c>
      <c r="Q192" s="2">
        <v>109.47399999999999</v>
      </c>
      <c r="R192" s="1">
        <v>113631179.18879999</v>
      </c>
      <c r="S192" s="1">
        <v>34641126783672.383</v>
      </c>
      <c r="T192" s="1">
        <v>41354.755999999994</v>
      </c>
      <c r="U192" s="2">
        <v>315503420.60479999</v>
      </c>
      <c r="V192" s="2">
        <v>2671091.4319999996</v>
      </c>
      <c r="W192" s="1">
        <v>401</v>
      </c>
      <c r="X192" s="2">
        <v>6571212.6639999989</v>
      </c>
      <c r="Y192" s="2">
        <v>128.26999999999998</v>
      </c>
      <c r="Z192" s="2">
        <v>393.7</v>
      </c>
      <c r="AA192" s="2">
        <v>2077.7199999999998</v>
      </c>
      <c r="AB192" s="2">
        <v>2499.36</v>
      </c>
      <c r="AC192" s="2">
        <v>1351.28</v>
      </c>
      <c r="AD192" s="2">
        <v>1772.9199999999998</v>
      </c>
      <c r="AE192" s="2">
        <v>254</v>
      </c>
      <c r="AF192" s="2">
        <v>190.5</v>
      </c>
      <c r="AG192" s="2">
        <v>76.199999999999989</v>
      </c>
    </row>
    <row r="193" spans="1:33" x14ac:dyDescent="0.25">
      <c r="A193" s="1" t="s">
        <v>193</v>
      </c>
      <c r="B193" s="1">
        <v>550.6206578</v>
      </c>
      <c r="C193" s="1">
        <v>70322.44</v>
      </c>
      <c r="D193" s="2">
        <v>454.65999999999991</v>
      </c>
      <c r="E193" s="2">
        <v>419.09999999999997</v>
      </c>
      <c r="F193" s="2">
        <v>42.163999999999994</v>
      </c>
      <c r="G193" s="2">
        <v>67.563999999999993</v>
      </c>
      <c r="H193" s="2">
        <v>82.803999999999988</v>
      </c>
      <c r="I193" s="2">
        <v>52.387499999999996</v>
      </c>
      <c r="J193" s="2">
        <v>2264298955.2639999</v>
      </c>
      <c r="K193" s="2">
        <v>12060879.103999998</v>
      </c>
      <c r="L193" s="2">
        <v>9946947.8479999993</v>
      </c>
      <c r="M193" s="2">
        <v>179.578</v>
      </c>
      <c r="N193" s="2">
        <v>828300536.94399989</v>
      </c>
      <c r="O193" s="1">
        <v>6063213.6799999997</v>
      </c>
      <c r="P193" s="2">
        <v>3949282.4239999996</v>
      </c>
      <c r="Q193" s="2">
        <v>108.45799999999998</v>
      </c>
      <c r="R193" s="1">
        <v>92403376.483199984</v>
      </c>
      <c r="S193" s="1">
        <v>31150160518651.133</v>
      </c>
      <c r="T193" s="1">
        <v>40580.563999999998</v>
      </c>
      <c r="U193" s="2">
        <v>287199683.66399997</v>
      </c>
      <c r="V193" s="2">
        <v>2458059.5999999996</v>
      </c>
      <c r="W193" s="1">
        <v>367</v>
      </c>
      <c r="X193" s="2">
        <v>6014052.4879999999</v>
      </c>
      <c r="Y193" s="2">
        <v>127</v>
      </c>
      <c r="Z193" s="2">
        <v>386.08</v>
      </c>
      <c r="AA193" s="2">
        <v>2057.4</v>
      </c>
      <c r="AB193" s="2">
        <v>2476.5</v>
      </c>
      <c r="AC193" s="2">
        <v>1328.4199999999998</v>
      </c>
      <c r="AD193" s="2">
        <v>1747.5199999999998</v>
      </c>
      <c r="AE193" s="2">
        <v>254</v>
      </c>
      <c r="AF193" s="2">
        <v>190.5</v>
      </c>
      <c r="AG193" s="2">
        <v>76.199999999999989</v>
      </c>
    </row>
    <row r="194" spans="1:33" x14ac:dyDescent="0.25">
      <c r="A194" s="1" t="s">
        <v>194</v>
      </c>
      <c r="B194" s="1">
        <v>508.95206747999998</v>
      </c>
      <c r="C194" s="1">
        <v>65161.159999999996</v>
      </c>
      <c r="D194" s="2">
        <v>444.5</v>
      </c>
      <c r="E194" s="2">
        <v>416.55999999999995</v>
      </c>
      <c r="F194" s="2">
        <v>39.116</v>
      </c>
      <c r="G194" s="2">
        <v>62.738</v>
      </c>
      <c r="H194" s="2">
        <v>77.977999999999994</v>
      </c>
      <c r="I194" s="2">
        <v>50.8</v>
      </c>
      <c r="J194" s="2">
        <v>2039533985.4399998</v>
      </c>
      <c r="K194" s="2">
        <v>11012107.007999999</v>
      </c>
      <c r="L194" s="2">
        <v>9143981.7119999994</v>
      </c>
      <c r="M194" s="2">
        <v>177.292</v>
      </c>
      <c r="N194" s="2">
        <v>753378880.33599997</v>
      </c>
      <c r="O194" s="1">
        <v>5538827.6319999993</v>
      </c>
      <c r="P194" s="2">
        <v>3621541.1439999999</v>
      </c>
      <c r="Q194" s="2">
        <v>107.696</v>
      </c>
      <c r="R194" s="1">
        <v>74089193.756799996</v>
      </c>
      <c r="S194" s="1">
        <v>27659194253629.887</v>
      </c>
      <c r="T194" s="1">
        <v>39741.856</v>
      </c>
      <c r="U194" s="2">
        <v>259728409.57439998</v>
      </c>
      <c r="V194" s="2">
        <v>2261414.8319999999</v>
      </c>
      <c r="W194" s="1">
        <v>335</v>
      </c>
      <c r="X194" s="2">
        <v>5489666.4399999995</v>
      </c>
      <c r="Y194" s="2">
        <v>125.73</v>
      </c>
      <c r="Z194" s="2">
        <v>381</v>
      </c>
      <c r="AA194" s="2">
        <v>2034.5399999999997</v>
      </c>
      <c r="AB194" s="2">
        <v>2451.1</v>
      </c>
      <c r="AC194" s="2">
        <v>1305.56</v>
      </c>
      <c r="AD194" s="2">
        <v>1722.12</v>
      </c>
      <c r="AE194" s="2">
        <v>254</v>
      </c>
      <c r="AF194" s="2">
        <v>190.5</v>
      </c>
      <c r="AG194" s="2">
        <v>76.199999999999989</v>
      </c>
    </row>
    <row r="195" spans="1:33" x14ac:dyDescent="0.25">
      <c r="A195" s="1" t="s">
        <v>195</v>
      </c>
      <c r="B195" s="1">
        <v>462.81898533999998</v>
      </c>
      <c r="C195" s="1">
        <v>58967.624000000003</v>
      </c>
      <c r="D195" s="2">
        <v>434.34000000000003</v>
      </c>
      <c r="E195" s="2">
        <v>411.47999999999996</v>
      </c>
      <c r="F195" s="2">
        <v>35.813999999999993</v>
      </c>
      <c r="G195" s="2">
        <v>57.403999999999989</v>
      </c>
      <c r="H195" s="2">
        <v>72.643999999999991</v>
      </c>
      <c r="I195" s="2">
        <v>49.212499999999999</v>
      </c>
      <c r="J195" s="2">
        <v>1802282072.8479998</v>
      </c>
      <c r="K195" s="2">
        <v>9881399.5919999983</v>
      </c>
      <c r="L195" s="2">
        <v>8291854.3839999996</v>
      </c>
      <c r="M195" s="2">
        <v>174.75199999999998</v>
      </c>
      <c r="N195" s="2">
        <v>670132595.21599996</v>
      </c>
      <c r="O195" s="1">
        <v>4981667.4559999993</v>
      </c>
      <c r="P195" s="2">
        <v>3261025.7359999996</v>
      </c>
      <c r="Q195" s="2">
        <v>106.67999999999999</v>
      </c>
      <c r="R195" s="1">
        <v>56607473.881599993</v>
      </c>
      <c r="S195" s="1">
        <v>23926545708722.551</v>
      </c>
      <c r="T195" s="1">
        <v>38774.116000000002</v>
      </c>
      <c r="U195" s="2">
        <v>228927284.07999998</v>
      </c>
      <c r="V195" s="2">
        <v>2031995.9359999998</v>
      </c>
      <c r="W195" s="1">
        <v>300</v>
      </c>
      <c r="X195" s="2">
        <v>4916119.1999999993</v>
      </c>
      <c r="Y195" s="2">
        <v>123.69799999999999</v>
      </c>
      <c r="Z195" s="2">
        <v>375.92</v>
      </c>
      <c r="AA195" s="2">
        <v>2006.6</v>
      </c>
      <c r="AB195" s="2">
        <v>2418.08</v>
      </c>
      <c r="AC195" s="2">
        <v>1280.1599999999999</v>
      </c>
      <c r="AD195" s="2">
        <v>1691.6399999999999</v>
      </c>
      <c r="AE195" s="2">
        <v>254</v>
      </c>
      <c r="AF195" s="2">
        <v>190.5</v>
      </c>
      <c r="AG195" s="2">
        <v>76.199999999999989</v>
      </c>
    </row>
    <row r="196" spans="1:33" x14ac:dyDescent="0.25">
      <c r="A196" s="1" t="s">
        <v>196</v>
      </c>
      <c r="B196" s="1">
        <v>421.15039501999996</v>
      </c>
      <c r="C196" s="1">
        <v>53741.827999999994</v>
      </c>
      <c r="D196" s="2">
        <v>424.17999999999995</v>
      </c>
      <c r="E196" s="2">
        <v>408.94</v>
      </c>
      <c r="F196" s="2">
        <v>32.765999999999998</v>
      </c>
      <c r="G196" s="2">
        <v>52.577999999999996</v>
      </c>
      <c r="H196" s="2">
        <v>67.817999999999998</v>
      </c>
      <c r="I196" s="2">
        <v>47.625</v>
      </c>
      <c r="J196" s="2">
        <v>1598328674.3039999</v>
      </c>
      <c r="K196" s="2">
        <v>8881788.6879999992</v>
      </c>
      <c r="L196" s="2">
        <v>7521662.3759999992</v>
      </c>
      <c r="M196" s="2">
        <v>172.46599999999998</v>
      </c>
      <c r="N196" s="2">
        <v>599373252.86399996</v>
      </c>
      <c r="O196" s="1">
        <v>4490055.5359999994</v>
      </c>
      <c r="P196" s="2">
        <v>2933284.4559999998</v>
      </c>
      <c r="Q196" s="2">
        <v>105.91799999999999</v>
      </c>
      <c r="R196" s="1">
        <v>43288068.262399994</v>
      </c>
      <c r="S196" s="1">
        <v>20865236830165.457</v>
      </c>
      <c r="T196" s="1">
        <v>37999.923999999999</v>
      </c>
      <c r="U196" s="2">
        <v>204369629.96959999</v>
      </c>
      <c r="V196" s="2">
        <v>1835351.1679999998</v>
      </c>
      <c r="W196" s="1">
        <v>269</v>
      </c>
      <c r="X196" s="2">
        <v>4408120.216</v>
      </c>
      <c r="Y196" s="2">
        <v>121.91999999999999</v>
      </c>
      <c r="Z196" s="2">
        <v>370.84</v>
      </c>
      <c r="AA196" s="2">
        <v>1983.7399999999998</v>
      </c>
      <c r="AB196" s="2">
        <v>2392.6799999999998</v>
      </c>
      <c r="AC196" s="2">
        <v>1257.3</v>
      </c>
      <c r="AD196" s="2">
        <v>1666.2399999999998</v>
      </c>
      <c r="AE196" s="2">
        <v>254</v>
      </c>
      <c r="AF196" s="2">
        <v>190.5</v>
      </c>
      <c r="AG196" s="2">
        <v>76.199999999999989</v>
      </c>
    </row>
    <row r="197" spans="1:33" x14ac:dyDescent="0.25">
      <c r="A197" s="1" t="s">
        <v>197</v>
      </c>
      <c r="B197" s="1">
        <v>382.45813257999998</v>
      </c>
      <c r="C197" s="1">
        <v>48774.09599999999</v>
      </c>
      <c r="D197" s="2">
        <v>416.55999999999995</v>
      </c>
      <c r="E197" s="2">
        <v>406.4</v>
      </c>
      <c r="F197" s="2">
        <v>29.971999999999998</v>
      </c>
      <c r="G197" s="2">
        <v>48.005999999999993</v>
      </c>
      <c r="H197" s="2">
        <v>63.246000000000002</v>
      </c>
      <c r="I197" s="2">
        <v>46.037499999999994</v>
      </c>
      <c r="J197" s="2">
        <v>1415186847.04</v>
      </c>
      <c r="K197" s="2">
        <v>7980500.1679999996</v>
      </c>
      <c r="L197" s="2">
        <v>6800631.5599999996</v>
      </c>
      <c r="M197" s="2">
        <v>170.434</v>
      </c>
      <c r="N197" s="2">
        <v>536938539.02399993</v>
      </c>
      <c r="O197" s="1">
        <v>4031217.7439999995</v>
      </c>
      <c r="P197" s="2">
        <v>2638317.3039999995</v>
      </c>
      <c r="Q197" s="2">
        <v>104.90199999999999</v>
      </c>
      <c r="R197" s="1">
        <v>32923905.764959995</v>
      </c>
      <c r="S197" s="1">
        <v>18206731751418.508</v>
      </c>
      <c r="T197" s="1">
        <v>37419.279999999999</v>
      </c>
      <c r="U197" s="2">
        <v>182725595.83839998</v>
      </c>
      <c r="V197" s="2">
        <v>1671480.5279999999</v>
      </c>
      <c r="W197" s="1">
        <v>243</v>
      </c>
      <c r="X197" s="2">
        <v>3982056.5519999997</v>
      </c>
      <c r="Y197" s="2">
        <v>120.64999999999999</v>
      </c>
      <c r="Z197" s="2">
        <v>368.29999999999995</v>
      </c>
      <c r="AA197" s="2">
        <v>1965.96</v>
      </c>
      <c r="AB197" s="2">
        <v>2372.36</v>
      </c>
      <c r="AC197" s="2">
        <v>1239.5199999999998</v>
      </c>
      <c r="AD197" s="2">
        <v>1645.9199999999998</v>
      </c>
      <c r="AE197" s="2">
        <v>254</v>
      </c>
      <c r="AF197" s="2">
        <v>190.5</v>
      </c>
      <c r="AG197" s="2">
        <v>76.199999999999989</v>
      </c>
    </row>
    <row r="198" spans="1:33" x14ac:dyDescent="0.25">
      <c r="A198" s="1" t="s">
        <v>198</v>
      </c>
      <c r="B198" s="1">
        <v>346.74219801999999</v>
      </c>
      <c r="C198" s="1">
        <v>44193.46</v>
      </c>
      <c r="D198" s="2">
        <v>406.4</v>
      </c>
      <c r="E198" s="2">
        <v>403.86</v>
      </c>
      <c r="F198" s="2">
        <v>27.178000000000001</v>
      </c>
      <c r="G198" s="2">
        <v>43.687999999999995</v>
      </c>
      <c r="H198" s="2">
        <v>58.92799999999999</v>
      </c>
      <c r="I198" s="2">
        <v>44.449999999999996</v>
      </c>
      <c r="J198" s="2">
        <v>1252856591.056</v>
      </c>
      <c r="K198" s="2">
        <v>7144759.9039999992</v>
      </c>
      <c r="L198" s="2">
        <v>6145148.9999999991</v>
      </c>
      <c r="M198" s="2">
        <v>168.40199999999999</v>
      </c>
      <c r="N198" s="2">
        <v>478666139.43999994</v>
      </c>
      <c r="O198" s="1">
        <v>3621541.1439999999</v>
      </c>
      <c r="P198" s="2">
        <v>2376124.2799999998</v>
      </c>
      <c r="Q198" s="2">
        <v>104.13999999999999</v>
      </c>
      <c r="R198" s="1">
        <v>24765769.823199999</v>
      </c>
      <c r="S198" s="1">
        <v>15843616125865.664</v>
      </c>
      <c r="T198" s="1">
        <v>36645.087999999996</v>
      </c>
      <c r="U198" s="2">
        <v>161497793.13279998</v>
      </c>
      <c r="V198" s="2">
        <v>1492861.5303999998</v>
      </c>
      <c r="W198" s="1">
        <v>216</v>
      </c>
      <c r="X198" s="2">
        <v>3539605.8239999996</v>
      </c>
      <c r="Y198" s="2">
        <v>119.126</v>
      </c>
      <c r="Z198" s="2">
        <v>363.21999999999997</v>
      </c>
      <c r="AA198" s="2">
        <v>1943.1</v>
      </c>
      <c r="AB198" s="2">
        <v>2346.96</v>
      </c>
      <c r="AC198" s="2">
        <v>1216.6599999999999</v>
      </c>
      <c r="AD198" s="2">
        <v>1620.5199999999998</v>
      </c>
      <c r="AE198" s="2">
        <v>254</v>
      </c>
      <c r="AF198" s="2">
        <v>190.5</v>
      </c>
      <c r="AG198" s="2">
        <v>76.199999999999989</v>
      </c>
    </row>
    <row r="199" spans="1:33" x14ac:dyDescent="0.25">
      <c r="A199" s="1" t="s">
        <v>199</v>
      </c>
      <c r="B199" s="1">
        <v>314.00259133999998</v>
      </c>
      <c r="C199" s="1">
        <v>39999.919999999998</v>
      </c>
      <c r="D199" s="2">
        <v>398.78</v>
      </c>
      <c r="E199" s="2">
        <v>401.32</v>
      </c>
      <c r="F199" s="2">
        <v>24.891999999999999</v>
      </c>
      <c r="G199" s="2">
        <v>39.624000000000002</v>
      </c>
      <c r="H199" s="2">
        <v>54.863999999999997</v>
      </c>
      <c r="I199" s="2">
        <v>42.862499999999997</v>
      </c>
      <c r="J199" s="2">
        <v>1107175592.096</v>
      </c>
      <c r="K199" s="2">
        <v>6390954.959999999</v>
      </c>
      <c r="L199" s="2">
        <v>5538827.6319999993</v>
      </c>
      <c r="M199" s="2">
        <v>166.36999999999998</v>
      </c>
      <c r="N199" s="2">
        <v>428718368.36799997</v>
      </c>
      <c r="O199" s="1">
        <v>3244638.6719999998</v>
      </c>
      <c r="P199" s="2">
        <v>2130318.3199999998</v>
      </c>
      <c r="Q199" s="2">
        <v>103.378</v>
      </c>
      <c r="R199" s="1">
        <v>18563921.58176</v>
      </c>
      <c r="S199" s="1">
        <v>13829597126814.943</v>
      </c>
      <c r="T199" s="1">
        <v>36064.443999999996</v>
      </c>
      <c r="U199" s="2">
        <v>143183610.4064</v>
      </c>
      <c r="V199" s="2">
        <v>1338823.1287999998</v>
      </c>
      <c r="W199" s="1">
        <v>194</v>
      </c>
      <c r="X199" s="2">
        <v>3179090.4159999997</v>
      </c>
      <c r="Y199" s="2">
        <v>117.85599999999998</v>
      </c>
      <c r="Z199" s="2">
        <v>358.14</v>
      </c>
      <c r="AA199" s="2">
        <v>1925.3199999999997</v>
      </c>
      <c r="AB199" s="2">
        <v>2326.64</v>
      </c>
      <c r="AC199" s="2">
        <v>1198.8800000000001</v>
      </c>
      <c r="AD199" s="2">
        <v>1600.1999999999998</v>
      </c>
      <c r="AE199" s="2">
        <v>254</v>
      </c>
      <c r="AF199" s="2">
        <v>190.5</v>
      </c>
      <c r="AG199" s="2">
        <v>76.199999999999989</v>
      </c>
    </row>
    <row r="200" spans="1:33" x14ac:dyDescent="0.25">
      <c r="A200" s="1" t="s">
        <v>200</v>
      </c>
      <c r="B200" s="1">
        <v>287.21564042</v>
      </c>
      <c r="C200" s="1">
        <v>36645.087999999996</v>
      </c>
      <c r="D200" s="2">
        <v>393.7</v>
      </c>
      <c r="E200" s="2">
        <v>398.78</v>
      </c>
      <c r="F200" s="2">
        <v>22.605999999999998</v>
      </c>
      <c r="G200" s="2">
        <v>36.575999999999993</v>
      </c>
      <c r="H200" s="2">
        <v>51.815999999999995</v>
      </c>
      <c r="I200" s="2">
        <v>42.862499999999997</v>
      </c>
      <c r="J200" s="2">
        <v>998955421.43999994</v>
      </c>
      <c r="K200" s="2">
        <v>5817407.7199999997</v>
      </c>
      <c r="L200" s="2">
        <v>5079989.84</v>
      </c>
      <c r="M200" s="2">
        <v>165.1</v>
      </c>
      <c r="N200" s="2">
        <v>387511457.23359996</v>
      </c>
      <c r="O200" s="1">
        <v>2949671.5199999996</v>
      </c>
      <c r="P200" s="2">
        <v>1950060.6159999999</v>
      </c>
      <c r="Q200" s="2">
        <v>102.86999999999999</v>
      </c>
      <c r="R200" s="1">
        <v>14484853.610879997</v>
      </c>
      <c r="S200" s="1">
        <v>12325796274190.406</v>
      </c>
      <c r="T200" s="1">
        <v>35612.832000000002</v>
      </c>
      <c r="U200" s="2">
        <v>129864204.78719999</v>
      </c>
      <c r="V200" s="2">
        <v>1229029.7999999998</v>
      </c>
      <c r="W200" s="1">
        <v>177</v>
      </c>
      <c r="X200" s="2">
        <v>2900510.3279999997</v>
      </c>
      <c r="Y200" s="2">
        <v>116.58599999999998</v>
      </c>
      <c r="Z200" s="2">
        <v>358.14</v>
      </c>
      <c r="AA200" s="2">
        <v>1912.62</v>
      </c>
      <c r="AB200" s="2">
        <v>2311.4</v>
      </c>
      <c r="AC200" s="2">
        <v>1186.18</v>
      </c>
      <c r="AD200" s="2">
        <v>1584.9599999999998</v>
      </c>
      <c r="AE200" s="2">
        <v>254</v>
      </c>
      <c r="AF200" s="2">
        <v>190.5</v>
      </c>
      <c r="AG200" s="2">
        <v>76.199999999999989</v>
      </c>
    </row>
    <row r="201" spans="1:33" x14ac:dyDescent="0.25">
      <c r="A201" s="1" t="s">
        <v>201</v>
      </c>
      <c r="B201" s="1">
        <v>261.91685344000001</v>
      </c>
      <c r="C201" s="1">
        <v>33419.287999999993</v>
      </c>
      <c r="D201" s="2">
        <v>386.08</v>
      </c>
      <c r="E201" s="2">
        <v>398.78</v>
      </c>
      <c r="F201" s="2">
        <v>21.081999999999997</v>
      </c>
      <c r="G201" s="2">
        <v>33.274000000000001</v>
      </c>
      <c r="H201" s="2">
        <v>48.513999999999996</v>
      </c>
      <c r="I201" s="2">
        <v>41.274999999999999</v>
      </c>
      <c r="J201" s="2">
        <v>890735250.78399992</v>
      </c>
      <c r="K201" s="2">
        <v>5243860.4799999995</v>
      </c>
      <c r="L201" s="2">
        <v>4604764.9839999992</v>
      </c>
      <c r="M201" s="2">
        <v>163.32199999999997</v>
      </c>
      <c r="N201" s="2">
        <v>348801934.65279996</v>
      </c>
      <c r="O201" s="1">
        <v>2671091.4319999996</v>
      </c>
      <c r="P201" s="2">
        <v>1753415.8479999998</v>
      </c>
      <c r="Q201" s="2">
        <v>102.10799999999999</v>
      </c>
      <c r="R201" s="1">
        <v>11030132.778399998</v>
      </c>
      <c r="S201" s="1">
        <v>10875702594873.887</v>
      </c>
      <c r="T201" s="1">
        <v>35161.22</v>
      </c>
      <c r="U201" s="2">
        <v>116544799.16799998</v>
      </c>
      <c r="V201" s="2">
        <v>1107765.5263999999</v>
      </c>
      <c r="W201" s="1">
        <v>159</v>
      </c>
      <c r="X201" s="2">
        <v>2605543.176</v>
      </c>
      <c r="Y201" s="2">
        <v>115.57</v>
      </c>
      <c r="Z201" s="2">
        <v>353.06</v>
      </c>
      <c r="AA201" s="2">
        <v>1899.9199999999998</v>
      </c>
      <c r="AB201" s="2">
        <v>2298.6999999999998</v>
      </c>
      <c r="AC201" s="2">
        <v>1170.94</v>
      </c>
      <c r="AD201" s="2">
        <v>1569.7199999999998</v>
      </c>
      <c r="AE201" s="2">
        <v>254</v>
      </c>
      <c r="AF201" s="2">
        <v>190.5</v>
      </c>
      <c r="AG201" s="2">
        <v>76.199999999999989</v>
      </c>
    </row>
    <row r="202" spans="1:33" x14ac:dyDescent="0.25">
      <c r="A202" s="1" t="s">
        <v>202</v>
      </c>
      <c r="B202" s="1">
        <v>236.61806645999999</v>
      </c>
      <c r="C202" s="1">
        <v>30128.972000000002</v>
      </c>
      <c r="D202" s="2">
        <v>381</v>
      </c>
      <c r="E202" s="2">
        <v>396.23999999999995</v>
      </c>
      <c r="F202" s="2">
        <v>18.922999999999998</v>
      </c>
      <c r="G202" s="2">
        <v>30.225999999999996</v>
      </c>
      <c r="H202" s="2">
        <v>45.466000000000001</v>
      </c>
      <c r="I202" s="2">
        <v>39.6875</v>
      </c>
      <c r="J202" s="2">
        <v>790839708.63999987</v>
      </c>
      <c r="K202" s="2">
        <v>4703087.3679999998</v>
      </c>
      <c r="L202" s="2">
        <v>4162314.2559999996</v>
      </c>
      <c r="M202" s="2">
        <v>162.05199999999999</v>
      </c>
      <c r="N202" s="2">
        <v>311341106.34879994</v>
      </c>
      <c r="O202" s="1">
        <v>2392511.3439999996</v>
      </c>
      <c r="P202" s="2">
        <v>1576435.5567999999</v>
      </c>
      <c r="Q202" s="2">
        <v>101.6</v>
      </c>
      <c r="R202" s="1">
        <v>8199759.0843199985</v>
      </c>
      <c r="S202" s="1">
        <v>9559876848827.418</v>
      </c>
      <c r="T202" s="1">
        <v>34774.123999999996</v>
      </c>
      <c r="U202" s="2">
        <v>104057856.39999999</v>
      </c>
      <c r="V202" s="2">
        <v>999610.90399999986</v>
      </c>
      <c r="W202" s="1">
        <v>143</v>
      </c>
      <c r="X202" s="2">
        <v>2343350.1519999998</v>
      </c>
      <c r="Y202" s="2">
        <v>114.55399999999999</v>
      </c>
      <c r="Z202" s="2">
        <v>350.52</v>
      </c>
      <c r="AA202" s="2">
        <v>1887.2199999999998</v>
      </c>
      <c r="AB202" s="2">
        <v>2283.46</v>
      </c>
      <c r="AC202" s="2">
        <v>1158.24</v>
      </c>
      <c r="AD202" s="2">
        <v>1554.48</v>
      </c>
      <c r="AE202" s="2">
        <v>254</v>
      </c>
      <c r="AF202" s="2">
        <v>190.5</v>
      </c>
      <c r="AG202" s="2">
        <v>76.199999999999989</v>
      </c>
    </row>
    <row r="203" spans="1:33" x14ac:dyDescent="0.25">
      <c r="A203" s="1" t="s">
        <v>203</v>
      </c>
      <c r="B203" s="1">
        <v>215.78377129999998</v>
      </c>
      <c r="C203" s="1">
        <v>27548.332000000002</v>
      </c>
      <c r="D203" s="2">
        <v>375.92</v>
      </c>
      <c r="E203" s="2">
        <v>393.7</v>
      </c>
      <c r="F203" s="2">
        <v>17.272000000000002</v>
      </c>
      <c r="G203" s="2">
        <v>27.686</v>
      </c>
      <c r="H203" s="2">
        <v>42.925999999999995</v>
      </c>
      <c r="I203" s="2">
        <v>39.6875</v>
      </c>
      <c r="J203" s="2">
        <v>711755737.7759999</v>
      </c>
      <c r="K203" s="2">
        <v>4260636.6399999997</v>
      </c>
      <c r="L203" s="2">
        <v>3801798.8479999998</v>
      </c>
      <c r="M203" s="2">
        <v>160.78199999999998</v>
      </c>
      <c r="N203" s="2">
        <v>281788675.13119996</v>
      </c>
      <c r="O203" s="1">
        <v>2179479.5119999996</v>
      </c>
      <c r="P203" s="2">
        <v>1430590.6871999998</v>
      </c>
      <c r="Q203" s="2">
        <v>101.092</v>
      </c>
      <c r="R203" s="1">
        <v>6326717.6691199988</v>
      </c>
      <c r="S203" s="1">
        <v>8512586969321.043</v>
      </c>
      <c r="T203" s="1">
        <v>34257.995999999999</v>
      </c>
      <c r="U203" s="2">
        <v>93235839.334399998</v>
      </c>
      <c r="V203" s="2">
        <v>907843.34559999988</v>
      </c>
      <c r="W203" s="1">
        <v>129</v>
      </c>
      <c r="X203" s="2">
        <v>2113931.2559999996</v>
      </c>
      <c r="Y203" s="2">
        <v>113.53799999999998</v>
      </c>
      <c r="Z203" s="2">
        <v>347.97999999999996</v>
      </c>
      <c r="AA203" s="2">
        <v>1871.98</v>
      </c>
      <c r="AB203" s="2">
        <v>2265.6799999999998</v>
      </c>
      <c r="AC203" s="2">
        <v>1145.54</v>
      </c>
      <c r="AD203" s="2">
        <v>1539.24</v>
      </c>
      <c r="AE203" s="2">
        <v>254</v>
      </c>
      <c r="AF203" s="2">
        <v>190.5</v>
      </c>
      <c r="AG203" s="2">
        <v>76.199999999999989</v>
      </c>
    </row>
    <row r="204" spans="1:33" x14ac:dyDescent="0.25">
      <c r="A204" s="1" t="s">
        <v>204</v>
      </c>
      <c r="B204" s="1">
        <v>196.43764007999999</v>
      </c>
      <c r="C204" s="1">
        <v>25032.207999999999</v>
      </c>
      <c r="D204" s="2">
        <v>373.37999999999994</v>
      </c>
      <c r="E204" s="2">
        <v>373.37999999999994</v>
      </c>
      <c r="F204" s="2">
        <v>16.382999999999999</v>
      </c>
      <c r="G204" s="2">
        <v>26.161999999999999</v>
      </c>
      <c r="H204" s="2">
        <v>41.401999999999994</v>
      </c>
      <c r="I204" s="2">
        <v>39.6875</v>
      </c>
      <c r="J204" s="2">
        <v>636834081.16799998</v>
      </c>
      <c r="K204" s="2">
        <v>3834572.9759999998</v>
      </c>
      <c r="L204" s="2">
        <v>3424896.3759999997</v>
      </c>
      <c r="M204" s="2">
        <v>159.512</v>
      </c>
      <c r="N204" s="2">
        <v>228094821.22879997</v>
      </c>
      <c r="O204" s="1">
        <v>1851738.2319999998</v>
      </c>
      <c r="P204" s="2">
        <v>1220836.2679999999</v>
      </c>
      <c r="Q204" s="2">
        <v>95.503999999999991</v>
      </c>
      <c r="R204" s="1">
        <v>5119646.5348800002</v>
      </c>
      <c r="S204" s="1">
        <v>6847664596772.4473</v>
      </c>
      <c r="T204" s="1">
        <v>32387.031999999999</v>
      </c>
      <c r="U204" s="2">
        <v>79083970.863999993</v>
      </c>
      <c r="V204" s="2">
        <v>811159.66799999995</v>
      </c>
      <c r="W204" s="1">
        <v>116</v>
      </c>
      <c r="X204" s="2">
        <v>1900899.4239999999</v>
      </c>
      <c r="Y204" s="2">
        <v>107.44200000000001</v>
      </c>
      <c r="Z204" s="2">
        <v>347.97999999999996</v>
      </c>
      <c r="AA204" s="2">
        <v>1808.48</v>
      </c>
      <c r="AB204" s="2">
        <v>2181.86</v>
      </c>
      <c r="AC204" s="2">
        <v>1120.1399999999999</v>
      </c>
      <c r="AD204" s="2">
        <v>1493.5199999999998</v>
      </c>
      <c r="AE204" s="2">
        <v>254</v>
      </c>
      <c r="AF204" s="2">
        <v>139.69999999999999</v>
      </c>
      <c r="AG204" s="2"/>
    </row>
    <row r="205" spans="1:33" x14ac:dyDescent="0.25">
      <c r="A205" s="1" t="s">
        <v>205</v>
      </c>
      <c r="B205" s="1">
        <v>178.5796728</v>
      </c>
      <c r="C205" s="1">
        <v>22774.147999999997</v>
      </c>
      <c r="D205" s="2">
        <v>368.29999999999995</v>
      </c>
      <c r="E205" s="2">
        <v>373.37999999999994</v>
      </c>
      <c r="F205" s="2">
        <v>14.985999999999999</v>
      </c>
      <c r="G205" s="2">
        <v>23.875999999999998</v>
      </c>
      <c r="H205" s="2">
        <v>39.116</v>
      </c>
      <c r="I205" s="2">
        <v>38.099999999999994</v>
      </c>
      <c r="J205" s="2">
        <v>574399367.32799995</v>
      </c>
      <c r="K205" s="2">
        <v>3474057.5679999995</v>
      </c>
      <c r="L205" s="2">
        <v>3113542.1599999997</v>
      </c>
      <c r="M205" s="2">
        <v>158.49600000000001</v>
      </c>
      <c r="N205" s="2">
        <v>206034555.67199999</v>
      </c>
      <c r="O205" s="1">
        <v>1671480.5279999999</v>
      </c>
      <c r="P205" s="2">
        <v>1106126.8199999998</v>
      </c>
      <c r="Q205" s="2">
        <v>94.995999999999995</v>
      </c>
      <c r="R205" s="1">
        <v>3900088.4578719991</v>
      </c>
      <c r="S205" s="1">
        <v>6095764170460.1787</v>
      </c>
      <c r="T205" s="1">
        <v>32128.967999999997</v>
      </c>
      <c r="U205" s="2">
        <v>71591805.203199998</v>
      </c>
      <c r="V205" s="2">
        <v>737417.87999999989</v>
      </c>
      <c r="W205" s="1">
        <v>105</v>
      </c>
      <c r="X205" s="2">
        <v>1720641.7199999997</v>
      </c>
      <c r="Y205" s="2">
        <v>106.67999999999999</v>
      </c>
      <c r="Z205" s="2">
        <v>345.44</v>
      </c>
      <c r="AA205" s="2">
        <v>1800.8600000000001</v>
      </c>
      <c r="AB205" s="2">
        <v>2174.2399999999998</v>
      </c>
      <c r="AC205" s="2">
        <v>1109.98</v>
      </c>
      <c r="AD205" s="2">
        <v>1483.36</v>
      </c>
      <c r="AE205" s="2">
        <v>254</v>
      </c>
      <c r="AF205" s="2">
        <v>139.69999999999999</v>
      </c>
      <c r="AG205" s="2"/>
    </row>
    <row r="206" spans="1:33" x14ac:dyDescent="0.25">
      <c r="A206" s="1" t="s">
        <v>206</v>
      </c>
      <c r="B206" s="1">
        <v>162.20986945999999</v>
      </c>
      <c r="C206" s="1">
        <v>20645.12</v>
      </c>
      <c r="D206" s="2">
        <v>363.21999999999997</v>
      </c>
      <c r="E206" s="2">
        <v>370.84</v>
      </c>
      <c r="F206" s="2">
        <v>13.334999999999999</v>
      </c>
      <c r="G206" s="2">
        <v>21.843999999999998</v>
      </c>
      <c r="H206" s="2">
        <v>37.083999999999996</v>
      </c>
      <c r="I206" s="2">
        <v>38.099999999999994</v>
      </c>
      <c r="J206" s="2">
        <v>516126967.74399996</v>
      </c>
      <c r="K206" s="2">
        <v>3146316.2879999997</v>
      </c>
      <c r="L206" s="2">
        <v>2834962.0719999997</v>
      </c>
      <c r="M206" s="2">
        <v>157.98799999999997</v>
      </c>
      <c r="N206" s="2">
        <v>186055447.24319997</v>
      </c>
      <c r="O206" s="1">
        <v>1519080.8328</v>
      </c>
      <c r="P206" s="2">
        <v>1002888.3167999999</v>
      </c>
      <c r="Q206" s="2">
        <v>94.74199999999999</v>
      </c>
      <c r="R206" s="1">
        <v>2963567.7502719997</v>
      </c>
      <c r="S206" s="1">
        <v>5424424504109.9385</v>
      </c>
      <c r="T206" s="1">
        <v>31677.356</v>
      </c>
      <c r="U206" s="2">
        <v>64099639.542399995</v>
      </c>
      <c r="V206" s="2">
        <v>666953.5048</v>
      </c>
      <c r="W206" s="1">
        <v>94.8</v>
      </c>
      <c r="X206" s="2">
        <v>1553493.6671999998</v>
      </c>
      <c r="Y206" s="2">
        <v>105.91799999999999</v>
      </c>
      <c r="Z206" s="2">
        <v>340.36</v>
      </c>
      <c r="AA206" s="2">
        <v>1785.62</v>
      </c>
      <c r="AB206" s="2">
        <v>2156.46</v>
      </c>
      <c r="AC206" s="2">
        <v>1097.28</v>
      </c>
      <c r="AD206" s="2">
        <v>1468.12</v>
      </c>
      <c r="AE206" s="2">
        <v>254</v>
      </c>
      <c r="AF206" s="2">
        <v>139.69999999999999</v>
      </c>
      <c r="AG206" s="2"/>
    </row>
    <row r="207" spans="1:33" x14ac:dyDescent="0.25">
      <c r="A207" s="1" t="s">
        <v>207</v>
      </c>
      <c r="B207" s="1">
        <v>147.32823006000001</v>
      </c>
      <c r="C207" s="1">
        <v>18774.155999999999</v>
      </c>
      <c r="D207" s="2">
        <v>360.67999999999995</v>
      </c>
      <c r="E207" s="2">
        <v>370.84</v>
      </c>
      <c r="F207" s="2">
        <v>12.318999999999999</v>
      </c>
      <c r="G207" s="2">
        <v>19.812000000000001</v>
      </c>
      <c r="H207" s="2">
        <v>35.051999999999992</v>
      </c>
      <c r="I207" s="2">
        <v>36.512499999999996</v>
      </c>
      <c r="J207" s="2">
        <v>462016882.41599995</v>
      </c>
      <c r="K207" s="2">
        <v>2834962.0719999997</v>
      </c>
      <c r="L207" s="2">
        <v>2572769.048</v>
      </c>
      <c r="M207" s="2">
        <v>156.71799999999999</v>
      </c>
      <c r="N207" s="2">
        <v>167325033.09119999</v>
      </c>
      <c r="O207" s="1">
        <v>1369958.5503999998</v>
      </c>
      <c r="P207" s="2">
        <v>904565.93279999995</v>
      </c>
      <c r="Q207" s="2">
        <v>94.233999999999995</v>
      </c>
      <c r="R207" s="1">
        <v>2235162.7554719998</v>
      </c>
      <c r="S207" s="1">
        <v>4833645597721.7275</v>
      </c>
      <c r="T207" s="1">
        <v>31612.84</v>
      </c>
      <c r="U207" s="2">
        <v>57856168.158399992</v>
      </c>
      <c r="V207" s="2">
        <v>604682.66159999988</v>
      </c>
      <c r="W207" s="1">
        <v>86.1</v>
      </c>
      <c r="X207" s="2">
        <v>1410926.2103999997</v>
      </c>
      <c r="Y207" s="2">
        <v>105.15599999999999</v>
      </c>
      <c r="Z207" s="2">
        <v>340.36</v>
      </c>
      <c r="AA207" s="2">
        <v>1783.08</v>
      </c>
      <c r="AB207" s="2">
        <v>2153.9199999999996</v>
      </c>
      <c r="AC207" s="2">
        <v>1092.2</v>
      </c>
      <c r="AD207" s="2">
        <v>1463.04</v>
      </c>
      <c r="AE207" s="2">
        <v>254</v>
      </c>
      <c r="AF207" s="2">
        <v>139.69999999999999</v>
      </c>
      <c r="AG207" s="2"/>
    </row>
    <row r="208" spans="1:33" x14ac:dyDescent="0.25">
      <c r="A208" s="1" t="s">
        <v>208</v>
      </c>
      <c r="B208" s="1">
        <v>133.93475459999999</v>
      </c>
      <c r="C208" s="1">
        <v>17096.739999999998</v>
      </c>
      <c r="D208" s="2">
        <v>355.59999999999997</v>
      </c>
      <c r="E208" s="2">
        <v>368.29999999999995</v>
      </c>
      <c r="F208" s="2">
        <v>11.176</v>
      </c>
      <c r="G208" s="2">
        <v>18.033999999999999</v>
      </c>
      <c r="H208" s="2">
        <v>33.274000000000001</v>
      </c>
      <c r="I208" s="2">
        <v>36.512499999999996</v>
      </c>
      <c r="J208" s="2">
        <v>415815194.17439997</v>
      </c>
      <c r="K208" s="2">
        <v>2572769.048</v>
      </c>
      <c r="L208" s="2">
        <v>2343350.1519999998</v>
      </c>
      <c r="M208" s="2">
        <v>155.95599999999999</v>
      </c>
      <c r="N208" s="2">
        <v>150675776.06719998</v>
      </c>
      <c r="O208" s="1">
        <v>1238862.0383999997</v>
      </c>
      <c r="P208" s="2">
        <v>817714.49359999993</v>
      </c>
      <c r="Q208" s="2">
        <v>93.98</v>
      </c>
      <c r="R208" s="1">
        <v>1689899.5879359997</v>
      </c>
      <c r="S208" s="1">
        <v>4296573864641.5356</v>
      </c>
      <c r="T208" s="1">
        <v>31096.712</v>
      </c>
      <c r="U208" s="2">
        <v>51612696.774399996</v>
      </c>
      <c r="V208" s="2">
        <v>544050.52480000001</v>
      </c>
      <c r="W208" s="1">
        <v>77.099999999999994</v>
      </c>
      <c r="X208" s="2">
        <v>1263442.6343999999</v>
      </c>
      <c r="Y208" s="2">
        <v>104.13999999999999</v>
      </c>
      <c r="Z208" s="2">
        <v>337.82</v>
      </c>
      <c r="AA208" s="2">
        <v>1767.8399999999997</v>
      </c>
      <c r="AB208" s="2">
        <v>2136.14</v>
      </c>
      <c r="AC208" s="2">
        <v>1079.5</v>
      </c>
      <c r="AD208" s="2">
        <v>1447.8</v>
      </c>
      <c r="AE208" s="2">
        <v>254</v>
      </c>
      <c r="AF208" s="2">
        <v>139.69999999999999</v>
      </c>
      <c r="AG208" s="2"/>
    </row>
    <row r="209" spans="1:33" x14ac:dyDescent="0.25">
      <c r="A209" s="1" t="s">
        <v>209</v>
      </c>
      <c r="B209" s="1">
        <v>122.02944307999999</v>
      </c>
      <c r="C209" s="1">
        <v>15483.84</v>
      </c>
      <c r="D209" s="2">
        <v>363.21999999999997</v>
      </c>
      <c r="E209" s="2">
        <v>256.53999999999996</v>
      </c>
      <c r="F209" s="2">
        <v>12.953999999999999</v>
      </c>
      <c r="G209" s="2">
        <v>21.716999999999999</v>
      </c>
      <c r="H209" s="2">
        <v>36.83</v>
      </c>
      <c r="I209" s="2">
        <v>26.987499999999997</v>
      </c>
      <c r="J209" s="2">
        <v>366699885.95359999</v>
      </c>
      <c r="K209" s="2">
        <v>2277801.8959999997</v>
      </c>
      <c r="L209" s="2">
        <v>2015608.8719999997</v>
      </c>
      <c r="M209" s="2">
        <v>153.66999999999999</v>
      </c>
      <c r="N209" s="2">
        <v>61602250.988799997</v>
      </c>
      <c r="O209" s="1">
        <v>734140.46719999984</v>
      </c>
      <c r="P209" s="2">
        <v>480140.97519999999</v>
      </c>
      <c r="Q209" s="2">
        <v>62.991999999999997</v>
      </c>
      <c r="R209" s="1">
        <v>2110293.327792</v>
      </c>
      <c r="S209" s="1">
        <v>1801875664484.0439</v>
      </c>
      <c r="T209" s="1">
        <v>21870.923999999999</v>
      </c>
      <c r="U209" s="2">
        <v>30509763.496479996</v>
      </c>
      <c r="V209" s="2">
        <v>452282.96639999998</v>
      </c>
      <c r="W209" s="1">
        <v>68.2</v>
      </c>
      <c r="X209" s="2">
        <v>1117597.7648</v>
      </c>
      <c r="Y209" s="2">
        <v>72.39</v>
      </c>
      <c r="Z209" s="2">
        <v>340.36</v>
      </c>
      <c r="AA209" s="2">
        <v>1445.26</v>
      </c>
      <c r="AB209" s="2">
        <v>1701.8</v>
      </c>
      <c r="AC209" s="2">
        <v>982.98</v>
      </c>
      <c r="AD209" s="2">
        <v>1239.5199999999998</v>
      </c>
      <c r="AE209" s="2">
        <v>276.22499999999997</v>
      </c>
      <c r="AF209" s="2">
        <v>139.69999999999999</v>
      </c>
      <c r="AG209" s="2"/>
    </row>
    <row r="210" spans="1:33" x14ac:dyDescent="0.25">
      <c r="A210" s="1" t="s">
        <v>210</v>
      </c>
      <c r="B210" s="1">
        <v>110.12413156</v>
      </c>
      <c r="C210" s="1">
        <v>14064.487999999999</v>
      </c>
      <c r="D210" s="2">
        <v>360.67999999999995</v>
      </c>
      <c r="E210" s="2">
        <v>256.53999999999996</v>
      </c>
      <c r="F210" s="2">
        <v>11.43</v>
      </c>
      <c r="G210" s="2">
        <v>19.939</v>
      </c>
      <c r="H210" s="2">
        <v>35.051999999999992</v>
      </c>
      <c r="I210" s="2">
        <v>26.987499999999997</v>
      </c>
      <c r="J210" s="2">
        <v>330903983.35199994</v>
      </c>
      <c r="K210" s="2">
        <v>2064770.0639999998</v>
      </c>
      <c r="L210" s="2">
        <v>1835351.1679999998</v>
      </c>
      <c r="M210" s="2">
        <v>153.416</v>
      </c>
      <c r="N210" s="2">
        <v>55775011.030399993</v>
      </c>
      <c r="O210" s="1">
        <v>663676.09199999995</v>
      </c>
      <c r="P210" s="2">
        <v>435895.90239999996</v>
      </c>
      <c r="Q210" s="2">
        <v>62.991999999999997</v>
      </c>
      <c r="R210" s="1">
        <v>1610815.6170719999</v>
      </c>
      <c r="S210" s="1">
        <v>1608529840575.175</v>
      </c>
      <c r="T210" s="1">
        <v>21870.923999999999</v>
      </c>
      <c r="U210" s="2">
        <v>27929128.657759994</v>
      </c>
      <c r="V210" s="2">
        <v>416231.42559999996</v>
      </c>
      <c r="W210" s="1">
        <v>62.2</v>
      </c>
      <c r="X210" s="2">
        <v>1019275.3807999999</v>
      </c>
      <c r="Y210" s="2">
        <v>71.881999999999991</v>
      </c>
      <c r="Z210" s="2">
        <v>340.36</v>
      </c>
      <c r="AA210" s="2">
        <v>1442.7199999999998</v>
      </c>
      <c r="AB210" s="2">
        <v>1699.26</v>
      </c>
      <c r="AC210" s="2">
        <v>977.9</v>
      </c>
      <c r="AD210" s="2">
        <v>1234.44</v>
      </c>
      <c r="AE210" s="2">
        <v>276.22499999999997</v>
      </c>
      <c r="AF210" s="2">
        <v>139.69999999999999</v>
      </c>
      <c r="AG210" s="2"/>
    </row>
    <row r="211" spans="1:33" x14ac:dyDescent="0.25">
      <c r="A211" s="1" t="s">
        <v>211</v>
      </c>
      <c r="B211" s="1">
        <v>101.19514792</v>
      </c>
      <c r="C211" s="1">
        <v>12903.199999999999</v>
      </c>
      <c r="D211" s="2">
        <v>355.59999999999997</v>
      </c>
      <c r="E211" s="2">
        <v>254</v>
      </c>
      <c r="F211" s="2">
        <v>10.540999999999999</v>
      </c>
      <c r="G211" s="2">
        <v>18.287999999999997</v>
      </c>
      <c r="H211" s="2">
        <v>33.274000000000001</v>
      </c>
      <c r="I211" s="2">
        <v>26.987499999999997</v>
      </c>
      <c r="J211" s="2">
        <v>300519089.28319997</v>
      </c>
      <c r="K211" s="2">
        <v>1884512.3599999999</v>
      </c>
      <c r="L211" s="2">
        <v>1687867.5919999999</v>
      </c>
      <c r="M211" s="2">
        <v>152.654</v>
      </c>
      <c r="N211" s="2">
        <v>50364002.497599997</v>
      </c>
      <c r="O211" s="1">
        <v>604682.66159999988</v>
      </c>
      <c r="P211" s="2">
        <v>396566.94879999995</v>
      </c>
      <c r="Q211" s="2">
        <v>62.483999999999995</v>
      </c>
      <c r="R211" s="1">
        <v>1252856.5910559997</v>
      </c>
      <c r="S211" s="1">
        <v>1444722961985.7163</v>
      </c>
      <c r="T211" s="1">
        <v>21419.312000000002</v>
      </c>
      <c r="U211" s="2">
        <v>24890639.250879996</v>
      </c>
      <c r="V211" s="2">
        <v>375263.76559999993</v>
      </c>
      <c r="W211" s="1">
        <v>56</v>
      </c>
      <c r="X211" s="2">
        <v>917675.58399999992</v>
      </c>
      <c r="Y211" s="2">
        <v>71.11999999999999</v>
      </c>
      <c r="Z211" s="2">
        <v>337.82</v>
      </c>
      <c r="AA211" s="2">
        <v>1427.48</v>
      </c>
      <c r="AB211" s="2">
        <v>1681.48</v>
      </c>
      <c r="AC211" s="2">
        <v>965.19999999999993</v>
      </c>
      <c r="AD211" s="2">
        <v>1219.1999999999998</v>
      </c>
      <c r="AE211" s="2">
        <v>276.22499999999997</v>
      </c>
      <c r="AF211" s="2">
        <v>139.69999999999999</v>
      </c>
      <c r="AG211" s="2"/>
    </row>
    <row r="212" spans="1:33" x14ac:dyDescent="0.25">
      <c r="A212" s="1" t="s">
        <v>212</v>
      </c>
      <c r="B212" s="1">
        <v>90.778000339999991</v>
      </c>
      <c r="C212" s="1">
        <v>11548.363999999998</v>
      </c>
      <c r="D212" s="2">
        <v>353.06</v>
      </c>
      <c r="E212" s="2">
        <v>254</v>
      </c>
      <c r="F212" s="2">
        <v>9.5249999999999986</v>
      </c>
      <c r="G212" s="2">
        <v>16.382999999999999</v>
      </c>
      <c r="H212" s="2">
        <v>31.495999999999999</v>
      </c>
      <c r="I212" s="2">
        <v>25.4</v>
      </c>
      <c r="J212" s="2">
        <v>266388112.38399997</v>
      </c>
      <c r="K212" s="2">
        <v>1671480.5279999999</v>
      </c>
      <c r="L212" s="2">
        <v>1509248.5943999998</v>
      </c>
      <c r="M212" s="2">
        <v>151.892</v>
      </c>
      <c r="N212" s="2">
        <v>44536762.539199993</v>
      </c>
      <c r="O212" s="1">
        <v>537495.69919999992</v>
      </c>
      <c r="P212" s="2">
        <v>352321.87599999999</v>
      </c>
      <c r="Q212" s="2">
        <v>62.230000000000004</v>
      </c>
      <c r="R212" s="1">
        <v>911546.82206399983</v>
      </c>
      <c r="S212" s="1">
        <v>1264803931403.8521</v>
      </c>
      <c r="T212" s="1">
        <v>21354.795999999998</v>
      </c>
      <c r="U212" s="2">
        <v>22226758.127039999</v>
      </c>
      <c r="V212" s="2">
        <v>337573.5184</v>
      </c>
      <c r="W212" s="1">
        <v>50.2</v>
      </c>
      <c r="X212" s="2">
        <v>822630.6128</v>
      </c>
      <c r="Y212" s="2">
        <v>70.611999999999995</v>
      </c>
      <c r="Z212" s="2">
        <v>337.82</v>
      </c>
      <c r="AA212" s="2">
        <v>1422.3999999999999</v>
      </c>
      <c r="AB212" s="2">
        <v>1676.3999999999999</v>
      </c>
      <c r="AC212" s="2">
        <v>960.11999999999989</v>
      </c>
      <c r="AD212" s="2">
        <v>1214.1199999999999</v>
      </c>
      <c r="AE212" s="2">
        <v>276.22499999999997</v>
      </c>
      <c r="AF212" s="2">
        <v>139.69999999999999</v>
      </c>
      <c r="AG212" s="2"/>
    </row>
    <row r="213" spans="1:33" x14ac:dyDescent="0.25">
      <c r="A213" s="1" t="s">
        <v>213</v>
      </c>
      <c r="B213" s="1">
        <v>78.872688819999993</v>
      </c>
      <c r="C213" s="1">
        <v>10064.495999999999</v>
      </c>
      <c r="D213" s="2">
        <v>353.06</v>
      </c>
      <c r="E213" s="2">
        <v>204.72399999999999</v>
      </c>
      <c r="F213" s="2">
        <v>9.3979999999999997</v>
      </c>
      <c r="G213" s="2">
        <v>16.763999999999999</v>
      </c>
      <c r="H213" s="2">
        <v>31.75</v>
      </c>
      <c r="I213" s="2">
        <v>25.4</v>
      </c>
      <c r="J213" s="2">
        <v>225181201.24959996</v>
      </c>
      <c r="K213" s="2">
        <v>1427313.2743999998</v>
      </c>
      <c r="L213" s="2">
        <v>1274913.5791999998</v>
      </c>
      <c r="M213" s="2">
        <v>149.60599999999999</v>
      </c>
      <c r="N213" s="2">
        <v>24016553.257119998</v>
      </c>
      <c r="O213" s="1">
        <v>360515.40799999994</v>
      </c>
      <c r="P213" s="2">
        <v>234335.01519999999</v>
      </c>
      <c r="Q213" s="2">
        <v>48.767999999999994</v>
      </c>
      <c r="R213" s="1">
        <v>807488.9656639999</v>
      </c>
      <c r="S213" s="1">
        <v>682081101011.84375</v>
      </c>
      <c r="T213" s="1">
        <v>17225.771999999997</v>
      </c>
      <c r="U213" s="2">
        <v>14776215.608799998</v>
      </c>
      <c r="V213" s="2">
        <v>275302.6752</v>
      </c>
      <c r="W213" s="1">
        <v>42.5</v>
      </c>
      <c r="X213" s="2">
        <v>696450.22</v>
      </c>
      <c r="Y213" s="2">
        <v>56.388000000000005</v>
      </c>
      <c r="Z213" s="2">
        <v>335.28</v>
      </c>
      <c r="AA213" s="2">
        <v>1275.08</v>
      </c>
      <c r="AB213" s="2">
        <v>1480.82</v>
      </c>
      <c r="AC213" s="2">
        <v>911.8599999999999</v>
      </c>
      <c r="AD213" s="2">
        <v>1115.06</v>
      </c>
      <c r="AE213" s="2">
        <v>276.22499999999997</v>
      </c>
      <c r="AF213" s="2">
        <v>139.69999999999999</v>
      </c>
      <c r="AG213" s="2"/>
    </row>
    <row r="214" spans="1:33" x14ac:dyDescent="0.25">
      <c r="A214" s="1" t="s">
        <v>214</v>
      </c>
      <c r="B214" s="1">
        <v>71.431869120000002</v>
      </c>
      <c r="C214" s="1">
        <v>9096.7559999999994</v>
      </c>
      <c r="D214" s="2">
        <v>350.52</v>
      </c>
      <c r="E214" s="2">
        <v>203.96199999999996</v>
      </c>
      <c r="F214" s="2">
        <v>8.636000000000001</v>
      </c>
      <c r="G214" s="2">
        <v>15.112999999999998</v>
      </c>
      <c r="H214" s="2">
        <v>30.225999999999996</v>
      </c>
      <c r="I214" s="2">
        <v>25.4</v>
      </c>
      <c r="J214" s="2">
        <v>201456009.99039999</v>
      </c>
      <c r="K214" s="2">
        <v>1284745.8176</v>
      </c>
      <c r="L214" s="2">
        <v>1150371.8928</v>
      </c>
      <c r="M214" s="2">
        <v>148.58999999999997</v>
      </c>
      <c r="N214" s="2">
        <v>21394295.275839996</v>
      </c>
      <c r="O214" s="1">
        <v>321186.45439999999</v>
      </c>
      <c r="P214" s="2">
        <v>209754.4192</v>
      </c>
      <c r="Q214" s="2">
        <v>48.513999999999996</v>
      </c>
      <c r="R214" s="1">
        <v>603535.56711999991</v>
      </c>
      <c r="S214" s="1">
        <v>601520341049.81506</v>
      </c>
      <c r="T214" s="1">
        <v>17096.739999999998</v>
      </c>
      <c r="U214" s="2">
        <v>13194536.191519998</v>
      </c>
      <c r="V214" s="2">
        <v>247444.66639999996</v>
      </c>
      <c r="W214" s="1">
        <v>38.299999999999997</v>
      </c>
      <c r="X214" s="2">
        <v>627624.55119999987</v>
      </c>
      <c r="Y214" s="2">
        <v>55.88</v>
      </c>
      <c r="Z214" s="2">
        <v>335.28</v>
      </c>
      <c r="AA214" s="2">
        <v>1270</v>
      </c>
      <c r="AB214" s="2">
        <v>1473.1999999999998</v>
      </c>
      <c r="AC214" s="2">
        <v>904.24</v>
      </c>
      <c r="AD214" s="2">
        <v>1109.98</v>
      </c>
      <c r="AE214" s="2">
        <v>276.22499999999997</v>
      </c>
      <c r="AF214" s="2">
        <v>139.69999999999999</v>
      </c>
      <c r="AG214" s="2"/>
    </row>
    <row r="215" spans="1:33" x14ac:dyDescent="0.25">
      <c r="A215" s="1" t="s">
        <v>215</v>
      </c>
      <c r="B215" s="1">
        <v>63.991049419999996</v>
      </c>
      <c r="C215" s="1">
        <v>8129.0159999999996</v>
      </c>
      <c r="D215" s="2">
        <v>347.97999999999996</v>
      </c>
      <c r="E215" s="2">
        <v>203.2</v>
      </c>
      <c r="F215" s="2">
        <v>7.746999999999999</v>
      </c>
      <c r="G215" s="2">
        <v>13.462</v>
      </c>
      <c r="H215" s="2">
        <v>28.448</v>
      </c>
      <c r="I215" s="2">
        <v>25.4</v>
      </c>
      <c r="J215" s="2">
        <v>178147050.15679997</v>
      </c>
      <c r="K215" s="2">
        <v>1140539.6543999999</v>
      </c>
      <c r="L215" s="2">
        <v>1025830.2063999999</v>
      </c>
      <c r="M215" s="2">
        <v>147.828</v>
      </c>
      <c r="N215" s="2">
        <v>18813660.437119998</v>
      </c>
      <c r="O215" s="1">
        <v>283496.2072</v>
      </c>
      <c r="P215" s="2">
        <v>185173.82319999998</v>
      </c>
      <c r="Q215" s="2">
        <v>48.005999999999993</v>
      </c>
      <c r="R215" s="1">
        <v>437042.99687999999</v>
      </c>
      <c r="S215" s="1">
        <v>523644939753.18719</v>
      </c>
      <c r="T215" s="1">
        <v>16967.707999999999</v>
      </c>
      <c r="U215" s="2">
        <v>11612856.774239998</v>
      </c>
      <c r="V215" s="2">
        <v>219586.65759999998</v>
      </c>
      <c r="W215" s="1">
        <v>34</v>
      </c>
      <c r="X215" s="2">
        <v>557160.17599999998</v>
      </c>
      <c r="Y215" s="2">
        <v>55.372</v>
      </c>
      <c r="Z215" s="2">
        <v>335.28</v>
      </c>
      <c r="AA215" s="2">
        <v>1264.9199999999998</v>
      </c>
      <c r="AB215" s="2">
        <v>1468.12</v>
      </c>
      <c r="AC215" s="2">
        <v>899.16</v>
      </c>
      <c r="AD215" s="2">
        <v>1102.3599999999999</v>
      </c>
      <c r="AE215" s="2">
        <v>276.22499999999997</v>
      </c>
      <c r="AF215" s="2">
        <v>139.69999999999999</v>
      </c>
      <c r="AG215" s="2"/>
    </row>
    <row r="216" spans="1:33" x14ac:dyDescent="0.25">
      <c r="A216" s="1" t="s">
        <v>216</v>
      </c>
      <c r="B216" s="1">
        <v>56.550229719999997</v>
      </c>
      <c r="C216" s="1">
        <v>7225.7919999999995</v>
      </c>
      <c r="D216" s="2">
        <v>358.14</v>
      </c>
      <c r="E216" s="2">
        <v>171.95799999999997</v>
      </c>
      <c r="F216" s="2">
        <v>7.8739999999999997</v>
      </c>
      <c r="G216" s="2">
        <v>13.081</v>
      </c>
      <c r="H216" s="2">
        <v>23.241</v>
      </c>
      <c r="I216" s="2">
        <v>20.637499999999999</v>
      </c>
      <c r="J216" s="2">
        <v>160249098.85599998</v>
      </c>
      <c r="K216" s="2">
        <v>1007804.4359999999</v>
      </c>
      <c r="L216" s="2">
        <v>894733.69439999992</v>
      </c>
      <c r="M216" s="2">
        <v>149.09799999999998</v>
      </c>
      <c r="N216" s="2">
        <v>11113379.063519999</v>
      </c>
      <c r="O216" s="1">
        <v>198283.47439999998</v>
      </c>
      <c r="P216" s="2">
        <v>129130.06431999999</v>
      </c>
      <c r="Q216" s="2">
        <v>39.369999999999997</v>
      </c>
      <c r="R216" s="1">
        <v>332152.67762879998</v>
      </c>
      <c r="S216" s="1">
        <v>330299115844.31805</v>
      </c>
      <c r="T216" s="1">
        <v>14838.679999999998</v>
      </c>
      <c r="U216" s="2">
        <v>8324628.5119999992</v>
      </c>
      <c r="V216" s="2">
        <v>185173.82319999998</v>
      </c>
      <c r="W216" s="1">
        <v>30.3</v>
      </c>
      <c r="X216" s="2">
        <v>496528.03919999994</v>
      </c>
      <c r="Y216" s="2">
        <v>46.228000000000002</v>
      </c>
      <c r="Z216" s="2">
        <v>345.44</v>
      </c>
      <c r="AA216" s="2">
        <v>1198.8800000000001</v>
      </c>
      <c r="AB216" s="2">
        <v>1371.6</v>
      </c>
      <c r="AC216" s="2">
        <v>889</v>
      </c>
      <c r="AD216" s="2">
        <v>1059.18</v>
      </c>
      <c r="AE216" s="2">
        <v>295.27499999999998</v>
      </c>
      <c r="AF216" s="2">
        <v>88.899999999999991</v>
      </c>
      <c r="AG216" s="2"/>
    </row>
    <row r="217" spans="1:33" x14ac:dyDescent="0.25">
      <c r="A217" s="1" t="s">
        <v>217</v>
      </c>
      <c r="B217" s="1">
        <v>50.597573959999998</v>
      </c>
      <c r="C217" s="1">
        <v>6451.5999999999995</v>
      </c>
      <c r="D217" s="2">
        <v>355.59999999999997</v>
      </c>
      <c r="E217" s="2">
        <v>171.45</v>
      </c>
      <c r="F217" s="2">
        <v>7.238999999999999</v>
      </c>
      <c r="G217" s="2">
        <v>11.557</v>
      </c>
      <c r="H217" s="2">
        <v>21.716999999999999</v>
      </c>
      <c r="I217" s="2">
        <v>19.049999999999997</v>
      </c>
      <c r="J217" s="2">
        <v>141518684.704</v>
      </c>
      <c r="K217" s="2">
        <v>894733.69439999992</v>
      </c>
      <c r="L217" s="2">
        <v>796411.31039999996</v>
      </c>
      <c r="M217" s="2">
        <v>148.08199999999999</v>
      </c>
      <c r="N217" s="2">
        <v>9698192.2164799999</v>
      </c>
      <c r="O217" s="1">
        <v>173702.87839999999</v>
      </c>
      <c r="P217" s="2">
        <v>113234.61223999999</v>
      </c>
      <c r="Q217" s="2">
        <v>38.862000000000002</v>
      </c>
      <c r="R217" s="1">
        <v>236835.68116639997</v>
      </c>
      <c r="S217" s="1">
        <v>287333377197.90271</v>
      </c>
      <c r="T217" s="1">
        <v>14774.163999999999</v>
      </c>
      <c r="U217" s="2">
        <v>7325673.0905599995</v>
      </c>
      <c r="V217" s="2">
        <v>163870.63999999998</v>
      </c>
      <c r="W217" s="1">
        <v>26.9</v>
      </c>
      <c r="X217" s="2">
        <v>440812.02159999992</v>
      </c>
      <c r="Y217" s="2">
        <v>45.72</v>
      </c>
      <c r="Z217" s="2">
        <v>342.9</v>
      </c>
      <c r="AA217" s="2">
        <v>1193.8</v>
      </c>
      <c r="AB217" s="2">
        <v>1363.98</v>
      </c>
      <c r="AC217" s="2">
        <v>883.91999999999985</v>
      </c>
      <c r="AD217" s="2">
        <v>1054.0999999999999</v>
      </c>
      <c r="AE217" s="2">
        <v>295.27499999999998</v>
      </c>
      <c r="AF217" s="2">
        <v>88.899999999999991</v>
      </c>
      <c r="AG217" s="2"/>
    </row>
    <row r="218" spans="1:33" x14ac:dyDescent="0.25">
      <c r="A218" s="1" t="s">
        <v>218</v>
      </c>
      <c r="B218" s="1">
        <v>44.644918199999999</v>
      </c>
      <c r="C218" s="1">
        <v>5709.6659999999993</v>
      </c>
      <c r="D218" s="2">
        <v>350.52</v>
      </c>
      <c r="E218" s="2">
        <v>170.94200000000001</v>
      </c>
      <c r="F218" s="2">
        <v>6.8579999999999997</v>
      </c>
      <c r="G218" s="2">
        <v>9.7789999999999999</v>
      </c>
      <c r="H218" s="2">
        <v>19.939</v>
      </c>
      <c r="I218" s="2">
        <v>19.049999999999997</v>
      </c>
      <c r="J218" s="2">
        <v>121123344.84959999</v>
      </c>
      <c r="K218" s="2">
        <v>775108.12719999987</v>
      </c>
      <c r="L218" s="2">
        <v>688256.68799999997</v>
      </c>
      <c r="M218" s="2">
        <v>145.542</v>
      </c>
      <c r="N218" s="2">
        <v>8158135.9417599998</v>
      </c>
      <c r="O218" s="1">
        <v>147319.70535999999</v>
      </c>
      <c r="P218" s="2">
        <v>95372.712480000002</v>
      </c>
      <c r="Q218" s="2">
        <v>37.845999999999997</v>
      </c>
      <c r="R218" s="1">
        <v>158167.94172799998</v>
      </c>
      <c r="S218" s="1">
        <v>238191313621.06512</v>
      </c>
      <c r="T218" s="1">
        <v>14580.616</v>
      </c>
      <c r="U218" s="2">
        <v>6076978.8137599993</v>
      </c>
      <c r="V218" s="2">
        <v>136668.11375999998</v>
      </c>
      <c r="W218" s="1">
        <v>23.1</v>
      </c>
      <c r="X218" s="2">
        <v>378541.17839999998</v>
      </c>
      <c r="Y218" s="2">
        <v>44.957999999999998</v>
      </c>
      <c r="Z218" s="2">
        <v>340.36</v>
      </c>
      <c r="AA218" s="2">
        <v>1183.6399999999999</v>
      </c>
      <c r="AB218" s="2">
        <v>1353.82</v>
      </c>
      <c r="AC218" s="2">
        <v>871.21999999999991</v>
      </c>
      <c r="AD218" s="2">
        <v>1043.94</v>
      </c>
      <c r="AE218" s="2">
        <v>295.27499999999998</v>
      </c>
      <c r="AF218" s="2">
        <v>88.899999999999991</v>
      </c>
      <c r="AG218" s="2"/>
    </row>
    <row r="219" spans="1:33" x14ac:dyDescent="0.25">
      <c r="A219" s="1" t="s">
        <v>219</v>
      </c>
      <c r="B219" s="1">
        <v>38.69226244</v>
      </c>
      <c r="C219" s="1">
        <v>4961.2803999999996</v>
      </c>
      <c r="D219" s="2">
        <v>353.06</v>
      </c>
      <c r="E219" s="2">
        <v>127.762</v>
      </c>
      <c r="F219" s="2">
        <v>6.4769999999999994</v>
      </c>
      <c r="G219" s="2">
        <v>10.667999999999999</v>
      </c>
      <c r="H219" s="2">
        <v>20.827999999999996</v>
      </c>
      <c r="I219" s="2">
        <v>19.049999999999997</v>
      </c>
      <c r="J219" s="2">
        <v>101976699.27199998</v>
      </c>
      <c r="K219" s="2">
        <v>658759.97279999999</v>
      </c>
      <c r="L219" s="2">
        <v>578463.35919999995</v>
      </c>
      <c r="M219" s="2">
        <v>143.51</v>
      </c>
      <c r="N219" s="2">
        <v>3708622.0020959997</v>
      </c>
      <c r="O219" s="1">
        <v>90784.334559999988</v>
      </c>
      <c r="P219" s="2">
        <v>58174.077199999992</v>
      </c>
      <c r="Q219" s="2">
        <v>27.431999999999999</v>
      </c>
      <c r="R219" s="1">
        <v>149010.85036479999</v>
      </c>
      <c r="S219" s="1">
        <v>108757025948.73888</v>
      </c>
      <c r="T219" s="1">
        <v>10967.72</v>
      </c>
      <c r="U219" s="2">
        <v>3725271.2591199991</v>
      </c>
      <c r="V219" s="2">
        <v>110776.55263999998</v>
      </c>
      <c r="W219" s="1">
        <v>19.7</v>
      </c>
      <c r="X219" s="2">
        <v>322825.16079999995</v>
      </c>
      <c r="Y219" s="2">
        <v>33.019999999999996</v>
      </c>
      <c r="Z219" s="2">
        <v>342.9</v>
      </c>
      <c r="AA219" s="2">
        <v>1059.18</v>
      </c>
      <c r="AB219" s="2">
        <v>1186.18</v>
      </c>
      <c r="AC219" s="2">
        <v>833.11999999999989</v>
      </c>
      <c r="AD219" s="2">
        <v>962.65999999999985</v>
      </c>
      <c r="AE219" s="2">
        <v>295.27499999999998</v>
      </c>
      <c r="AF219" s="2">
        <v>69.849999999999994</v>
      </c>
      <c r="AG219" s="2"/>
    </row>
    <row r="220" spans="1:33" x14ac:dyDescent="0.25">
      <c r="A220" s="1" t="s">
        <v>220</v>
      </c>
      <c r="B220" s="1">
        <v>32.739606680000001</v>
      </c>
      <c r="C220" s="1">
        <v>4187.0883999999996</v>
      </c>
      <c r="D220" s="2">
        <v>347.97999999999996</v>
      </c>
      <c r="E220" s="2">
        <v>127</v>
      </c>
      <c r="F220" s="2">
        <v>5.8419999999999996</v>
      </c>
      <c r="G220" s="2">
        <v>8.5090000000000003</v>
      </c>
      <c r="H220" s="2">
        <v>18.668999999999997</v>
      </c>
      <c r="I220" s="2">
        <v>19.049999999999997</v>
      </c>
      <c r="J220" s="2">
        <v>82830053.694399998</v>
      </c>
      <c r="K220" s="2">
        <v>544050.52480000001</v>
      </c>
      <c r="L220" s="2">
        <v>475224.85599999997</v>
      </c>
      <c r="M220" s="2">
        <v>140.71599999999998</v>
      </c>
      <c r="N220" s="2">
        <v>2913619.9791999999</v>
      </c>
      <c r="O220" s="1">
        <v>71939.210959999982</v>
      </c>
      <c r="P220" s="2">
        <v>45883.77919999999</v>
      </c>
      <c r="Q220" s="2">
        <v>26.416</v>
      </c>
      <c r="R220" s="1">
        <v>86576.136524799993</v>
      </c>
      <c r="S220" s="1">
        <v>84320262093.590134</v>
      </c>
      <c r="T220" s="1">
        <v>10774.171999999999</v>
      </c>
      <c r="U220" s="2">
        <v>2913619.9791999999</v>
      </c>
      <c r="V220" s="2">
        <v>87506.921759999983</v>
      </c>
      <c r="W220" s="1">
        <v>16.100000000000001</v>
      </c>
      <c r="X220" s="2">
        <v>263831.7304</v>
      </c>
      <c r="Y220" s="2">
        <v>32.257999999999996</v>
      </c>
      <c r="Z220" s="2">
        <v>340.36</v>
      </c>
      <c r="AA220" s="2">
        <v>1049.02</v>
      </c>
      <c r="AB220" s="2">
        <v>1176.0199999999998</v>
      </c>
      <c r="AC220" s="2">
        <v>822.95999999999992</v>
      </c>
      <c r="AD220" s="2">
        <v>949.95999999999992</v>
      </c>
      <c r="AE220" s="2">
        <v>295.27499999999998</v>
      </c>
      <c r="AF220" s="2">
        <v>69.849999999999994</v>
      </c>
      <c r="AG220" s="2"/>
    </row>
    <row r="221" spans="1:33" x14ac:dyDescent="0.25">
      <c r="A221" s="1" t="s">
        <v>221</v>
      </c>
      <c r="B221" s="1">
        <v>500.02308383999997</v>
      </c>
      <c r="C221" s="1">
        <v>63806.324000000001</v>
      </c>
      <c r="D221" s="2">
        <v>426.71999999999997</v>
      </c>
      <c r="E221" s="2">
        <v>340.36</v>
      </c>
      <c r="F221" s="2">
        <v>45.211999999999996</v>
      </c>
      <c r="G221" s="2">
        <v>75.183999999999997</v>
      </c>
      <c r="H221" s="2">
        <v>90.169999999999987</v>
      </c>
      <c r="I221" s="2">
        <v>42.862499999999997</v>
      </c>
      <c r="J221" s="2">
        <v>1689899587.9359999</v>
      </c>
      <c r="K221" s="2">
        <v>9881399.5919999983</v>
      </c>
      <c r="L221" s="2">
        <v>7914951.9119999995</v>
      </c>
      <c r="M221" s="2">
        <v>162.81399999999999</v>
      </c>
      <c r="N221" s="2">
        <v>495315396.46399993</v>
      </c>
      <c r="O221" s="1">
        <v>4490055.5359999994</v>
      </c>
      <c r="P221" s="2">
        <v>2900510.3279999997</v>
      </c>
      <c r="Q221" s="2">
        <v>88.138000000000005</v>
      </c>
      <c r="R221" s="1">
        <v>101144236.42079999</v>
      </c>
      <c r="S221" s="1">
        <v>15306544392785.471</v>
      </c>
      <c r="T221" s="1">
        <v>29935.423999999999</v>
      </c>
      <c r="U221" s="2">
        <v>191466455.77599999</v>
      </c>
      <c r="V221" s="2">
        <v>1950060.6159999999</v>
      </c>
      <c r="W221" s="1">
        <v>301</v>
      </c>
      <c r="X221" s="2">
        <v>4932506.2639999995</v>
      </c>
      <c r="Y221" s="2">
        <v>104.90199999999999</v>
      </c>
      <c r="Z221" s="2">
        <v>350.52</v>
      </c>
      <c r="AA221" s="2">
        <v>1757.68</v>
      </c>
      <c r="AB221" s="2">
        <v>2098.04</v>
      </c>
      <c r="AC221" s="2">
        <v>1193.8</v>
      </c>
      <c r="AD221" s="2">
        <v>1534.1599999999999</v>
      </c>
      <c r="AE221" s="2">
        <v>231.77499999999998</v>
      </c>
      <c r="AF221" s="2">
        <v>139.69999999999999</v>
      </c>
      <c r="AG221" s="2"/>
    </row>
    <row r="222" spans="1:33" x14ac:dyDescent="0.25">
      <c r="A222" s="1" t="s">
        <v>222</v>
      </c>
      <c r="B222" s="1">
        <v>453.89000169999997</v>
      </c>
      <c r="C222" s="1">
        <v>57741.82</v>
      </c>
      <c r="D222" s="2">
        <v>414.02</v>
      </c>
      <c r="E222" s="2">
        <v>335.28</v>
      </c>
      <c r="F222" s="2">
        <v>41.401999999999994</v>
      </c>
      <c r="G222" s="2">
        <v>68.833999999999989</v>
      </c>
      <c r="H222" s="2">
        <v>83.82</v>
      </c>
      <c r="I222" s="2">
        <v>41.274999999999999</v>
      </c>
      <c r="J222" s="2">
        <v>1477621560.8799999</v>
      </c>
      <c r="K222" s="2">
        <v>8799853.3679999989</v>
      </c>
      <c r="L222" s="2">
        <v>7128372.8399999989</v>
      </c>
      <c r="M222" s="2">
        <v>159.76599999999999</v>
      </c>
      <c r="N222" s="2">
        <v>437042996.87999994</v>
      </c>
      <c r="O222" s="1">
        <v>3998443.6159999995</v>
      </c>
      <c r="P222" s="2">
        <v>2605543.176</v>
      </c>
      <c r="Q222" s="2">
        <v>86.867999999999995</v>
      </c>
      <c r="R222" s="1">
        <v>77002813.735999987</v>
      </c>
      <c r="S222" s="1">
        <v>13050843113848.664</v>
      </c>
      <c r="T222" s="1">
        <v>28903.167999999998</v>
      </c>
      <c r="U222" s="2">
        <v>166908801.66559997</v>
      </c>
      <c r="V222" s="2">
        <v>1753415.8479999998</v>
      </c>
      <c r="W222" s="1">
        <v>267</v>
      </c>
      <c r="X222" s="2">
        <v>4375346.0879999995</v>
      </c>
      <c r="Y222" s="2">
        <v>102.86999999999999</v>
      </c>
      <c r="Z222" s="2">
        <v>345.44</v>
      </c>
      <c r="AA222" s="2">
        <v>1724.66</v>
      </c>
      <c r="AB222" s="2">
        <v>2059.9399999999996</v>
      </c>
      <c r="AC222" s="2">
        <v>1163.32</v>
      </c>
      <c r="AD222" s="2">
        <v>1498.6</v>
      </c>
      <c r="AE222" s="2">
        <v>231.77499999999998</v>
      </c>
      <c r="AF222" s="2">
        <v>139.69999999999999</v>
      </c>
      <c r="AG222" s="2"/>
    </row>
    <row r="223" spans="1:33" x14ac:dyDescent="0.25">
      <c r="A223" s="1" t="s">
        <v>223</v>
      </c>
      <c r="B223" s="1">
        <v>415.19773925999999</v>
      </c>
      <c r="C223" s="1">
        <v>52838.603999999999</v>
      </c>
      <c r="D223" s="2">
        <v>403.86</v>
      </c>
      <c r="E223" s="2">
        <v>332.73999999999995</v>
      </c>
      <c r="F223" s="2">
        <v>38.862000000000002</v>
      </c>
      <c r="G223" s="2">
        <v>62.738</v>
      </c>
      <c r="H223" s="2">
        <v>77.977999999999994</v>
      </c>
      <c r="I223" s="2">
        <v>41.274999999999999</v>
      </c>
      <c r="J223" s="2">
        <v>1294479733.6159999</v>
      </c>
      <c r="K223" s="2">
        <v>7882177.7839999991</v>
      </c>
      <c r="L223" s="2">
        <v>6440116.1519999998</v>
      </c>
      <c r="M223" s="2">
        <v>156.464</v>
      </c>
      <c r="N223" s="2">
        <v>390008845.78719997</v>
      </c>
      <c r="O223" s="1">
        <v>3605154.0799999996</v>
      </c>
      <c r="P223" s="2">
        <v>2343350.1519999998</v>
      </c>
      <c r="Q223" s="2">
        <v>85.85199999999999</v>
      </c>
      <c r="R223" s="1">
        <v>59521093.860799991</v>
      </c>
      <c r="S223" s="1">
        <v>11278506394684.031</v>
      </c>
      <c r="T223" s="1">
        <v>28387.039999999997</v>
      </c>
      <c r="U223" s="2">
        <v>148178387.51359999</v>
      </c>
      <c r="V223" s="2">
        <v>1573158.1439999999</v>
      </c>
      <c r="W223" s="1">
        <v>240</v>
      </c>
      <c r="X223" s="2">
        <v>3932895.3599999994</v>
      </c>
      <c r="Y223" s="2">
        <v>101.6</v>
      </c>
      <c r="Z223" s="2">
        <v>340.36</v>
      </c>
      <c r="AA223" s="2">
        <v>1701.8</v>
      </c>
      <c r="AB223" s="2">
        <v>2034.5399999999997</v>
      </c>
      <c r="AC223" s="2">
        <v>1140.4599999999998</v>
      </c>
      <c r="AD223" s="2">
        <v>1473.1999999999998</v>
      </c>
      <c r="AE223" s="2">
        <v>231.77499999999998</v>
      </c>
      <c r="AF223" s="2">
        <v>139.69999999999999</v>
      </c>
      <c r="AG223" s="2"/>
    </row>
    <row r="224" spans="1:33" x14ac:dyDescent="0.25">
      <c r="A224" s="1" t="s">
        <v>224</v>
      </c>
      <c r="B224" s="1">
        <v>375.01731287999996</v>
      </c>
      <c r="C224" s="1">
        <v>47806.355999999992</v>
      </c>
      <c r="D224" s="2">
        <v>391.15999999999997</v>
      </c>
      <c r="E224" s="2">
        <v>330.2</v>
      </c>
      <c r="F224" s="2">
        <v>35.559999999999995</v>
      </c>
      <c r="G224" s="2">
        <v>57.15</v>
      </c>
      <c r="H224" s="2">
        <v>72.39</v>
      </c>
      <c r="I224" s="2">
        <v>38.099999999999994</v>
      </c>
      <c r="J224" s="2">
        <v>1132149477.632</v>
      </c>
      <c r="K224" s="2">
        <v>7013663.3919999991</v>
      </c>
      <c r="L224" s="2">
        <v>5784633.5919999992</v>
      </c>
      <c r="M224" s="2">
        <v>153.92399999999998</v>
      </c>
      <c r="N224" s="2">
        <v>344639620.39679998</v>
      </c>
      <c r="O224" s="1">
        <v>3211864.5439999998</v>
      </c>
      <c r="P224" s="2">
        <v>2081157.1279999998</v>
      </c>
      <c r="Q224" s="2">
        <v>84.835999999999999</v>
      </c>
      <c r="R224" s="1">
        <v>44952993.964799993</v>
      </c>
      <c r="S224" s="1">
        <v>9613584022135.4355</v>
      </c>
      <c r="T224" s="1">
        <v>27548.332000000002</v>
      </c>
      <c r="U224" s="2">
        <v>130280436.21279998</v>
      </c>
      <c r="V224" s="2">
        <v>1406010.0911999999</v>
      </c>
      <c r="W224" s="1">
        <v>213</v>
      </c>
      <c r="X224" s="2">
        <v>3490444.6319999998</v>
      </c>
      <c r="Y224" s="2">
        <v>99.822000000000003</v>
      </c>
      <c r="Z224" s="2">
        <v>335.28</v>
      </c>
      <c r="AA224" s="2">
        <v>1676.3999999999999</v>
      </c>
      <c r="AB224" s="2">
        <v>2006.6</v>
      </c>
      <c r="AC224" s="2">
        <v>1112.5199999999998</v>
      </c>
      <c r="AD224" s="2">
        <v>1442.7199999999998</v>
      </c>
      <c r="AE224" s="2">
        <v>231.77499999999998</v>
      </c>
      <c r="AF224" s="2">
        <v>139.69999999999999</v>
      </c>
      <c r="AG224" s="2"/>
    </row>
    <row r="225" spans="1:33" x14ac:dyDescent="0.25">
      <c r="A225" s="1" t="s">
        <v>225</v>
      </c>
      <c r="B225" s="1">
        <v>342.27770620000001</v>
      </c>
      <c r="C225" s="1">
        <v>43677.332000000002</v>
      </c>
      <c r="D225" s="2">
        <v>383.53999999999996</v>
      </c>
      <c r="E225" s="2">
        <v>327.65999999999997</v>
      </c>
      <c r="F225" s="2">
        <v>32.765999999999998</v>
      </c>
      <c r="G225" s="2">
        <v>52.577999999999996</v>
      </c>
      <c r="H225" s="2">
        <v>67.817999999999998</v>
      </c>
      <c r="I225" s="2">
        <v>38.099999999999994</v>
      </c>
      <c r="J225" s="2">
        <v>1007280049.9519999</v>
      </c>
      <c r="K225" s="2">
        <v>6325406.703999999</v>
      </c>
      <c r="L225" s="2">
        <v>5260247.5439999998</v>
      </c>
      <c r="M225" s="2">
        <v>151.63799999999998</v>
      </c>
      <c r="N225" s="2">
        <v>308843717.79519999</v>
      </c>
      <c r="O225" s="1">
        <v>2900510.3279999997</v>
      </c>
      <c r="P225" s="2">
        <v>1884512.3599999999</v>
      </c>
      <c r="Q225" s="2">
        <v>84.073999999999998</v>
      </c>
      <c r="R225" s="1">
        <v>34880193.465279996</v>
      </c>
      <c r="S225" s="1">
        <v>8378319036050.9951</v>
      </c>
      <c r="T225" s="1">
        <v>27096.719999999998</v>
      </c>
      <c r="U225" s="2">
        <v>116961030.59359999</v>
      </c>
      <c r="V225" s="2">
        <v>1283107.1111999999</v>
      </c>
      <c r="W225" s="1">
        <v>193</v>
      </c>
      <c r="X225" s="2">
        <v>3162703.3519999995</v>
      </c>
      <c r="Y225" s="2">
        <v>98.298000000000002</v>
      </c>
      <c r="Z225" s="2">
        <v>330.2</v>
      </c>
      <c r="AA225" s="2">
        <v>1658.62</v>
      </c>
      <c r="AB225" s="2">
        <v>1986.28</v>
      </c>
      <c r="AC225" s="2">
        <v>1094.74</v>
      </c>
      <c r="AD225" s="2">
        <v>1422.3999999999999</v>
      </c>
      <c r="AE225" s="2">
        <v>231.77499999999998</v>
      </c>
      <c r="AF225" s="2">
        <v>139.69999999999999</v>
      </c>
      <c r="AG225" s="2"/>
    </row>
    <row r="226" spans="1:33" x14ac:dyDescent="0.25">
      <c r="A226" s="1" t="s">
        <v>226</v>
      </c>
      <c r="B226" s="1">
        <v>312.51442739999999</v>
      </c>
      <c r="C226" s="1">
        <v>39870.887999999999</v>
      </c>
      <c r="D226" s="2">
        <v>373.37999999999994</v>
      </c>
      <c r="E226" s="2">
        <v>325.12</v>
      </c>
      <c r="F226" s="2">
        <v>29.971999999999998</v>
      </c>
      <c r="G226" s="2">
        <v>48.26</v>
      </c>
      <c r="H226" s="2">
        <v>63.5</v>
      </c>
      <c r="I226" s="2">
        <v>36.512499999999996</v>
      </c>
      <c r="J226" s="2">
        <v>890735250.78399992</v>
      </c>
      <c r="K226" s="2">
        <v>5702698.2719999999</v>
      </c>
      <c r="L226" s="2">
        <v>4785022.6879999992</v>
      </c>
      <c r="M226" s="2">
        <v>149.60599999999999</v>
      </c>
      <c r="N226" s="2">
        <v>276377666.5984</v>
      </c>
      <c r="O226" s="1">
        <v>2605543.176</v>
      </c>
      <c r="P226" s="2">
        <v>1704254.656</v>
      </c>
      <c r="Q226" s="2">
        <v>83.311999999999983</v>
      </c>
      <c r="R226" s="1">
        <v>26930173.23632</v>
      </c>
      <c r="S226" s="1">
        <v>7304175569890.6104</v>
      </c>
      <c r="T226" s="1">
        <v>26451.559999999998</v>
      </c>
      <c r="U226" s="2">
        <v>103641624.97439998</v>
      </c>
      <c r="V226" s="2">
        <v>1156926.7183999999</v>
      </c>
      <c r="W226" s="1">
        <v>173</v>
      </c>
      <c r="X226" s="2">
        <v>2834962.0719999997</v>
      </c>
      <c r="Y226" s="2">
        <v>96.774000000000001</v>
      </c>
      <c r="Z226" s="2">
        <v>325.12</v>
      </c>
      <c r="AA226" s="2">
        <v>1635.76</v>
      </c>
      <c r="AB226" s="2">
        <v>1960.8799999999999</v>
      </c>
      <c r="AC226" s="2">
        <v>1071.8800000000001</v>
      </c>
      <c r="AD226" s="2">
        <v>1397</v>
      </c>
      <c r="AE226" s="2">
        <v>231.77499999999998</v>
      </c>
      <c r="AF226" s="2">
        <v>139.69999999999999</v>
      </c>
      <c r="AG226" s="2"/>
    </row>
    <row r="227" spans="1:33" x14ac:dyDescent="0.25">
      <c r="A227" s="1" t="s">
        <v>227</v>
      </c>
      <c r="B227" s="1">
        <v>282.75114859999996</v>
      </c>
      <c r="C227" s="1">
        <v>36128.959999999999</v>
      </c>
      <c r="D227" s="2">
        <v>365.76</v>
      </c>
      <c r="E227" s="2">
        <v>322.58</v>
      </c>
      <c r="F227" s="2">
        <v>26.923999999999999</v>
      </c>
      <c r="G227" s="2">
        <v>44.195999999999998</v>
      </c>
      <c r="H227" s="2">
        <v>59.181999999999995</v>
      </c>
      <c r="I227" s="2">
        <v>34.924999999999997</v>
      </c>
      <c r="J227" s="2">
        <v>786677394.38399994</v>
      </c>
      <c r="K227" s="2">
        <v>5096376.9039999992</v>
      </c>
      <c r="L227" s="2">
        <v>4309797.8319999995</v>
      </c>
      <c r="M227" s="2">
        <v>147.828</v>
      </c>
      <c r="N227" s="2">
        <v>245160309.67839998</v>
      </c>
      <c r="O227" s="1">
        <v>2343350.1519999998</v>
      </c>
      <c r="P227" s="2">
        <v>1523996.9519999998</v>
      </c>
      <c r="Q227" s="2">
        <v>82.55</v>
      </c>
      <c r="R227" s="1">
        <v>20312093.569279999</v>
      </c>
      <c r="S227" s="1">
        <v>6337446450346.2656</v>
      </c>
      <c r="T227" s="1">
        <v>25935.432000000001</v>
      </c>
      <c r="U227" s="2">
        <v>92403376.483199984</v>
      </c>
      <c r="V227" s="2">
        <v>1050410.8023999997</v>
      </c>
      <c r="W227" s="1">
        <v>156</v>
      </c>
      <c r="X227" s="2">
        <v>2556381.9839999997</v>
      </c>
      <c r="Y227" s="2">
        <v>95.757999999999996</v>
      </c>
      <c r="Z227" s="2">
        <v>322.58</v>
      </c>
      <c r="AA227" s="2">
        <v>1620.5199999999998</v>
      </c>
      <c r="AB227" s="2">
        <v>1943.1</v>
      </c>
      <c r="AC227" s="2">
        <v>1054.0999999999999</v>
      </c>
      <c r="AD227" s="2">
        <v>1376.68</v>
      </c>
      <c r="AE227" s="2">
        <v>231.77499999999998</v>
      </c>
      <c r="AF227" s="2">
        <v>139.69999999999999</v>
      </c>
      <c r="AG227" s="2"/>
    </row>
    <row r="228" spans="1:33" x14ac:dyDescent="0.25">
      <c r="A228" s="1" t="s">
        <v>228</v>
      </c>
      <c r="B228" s="1">
        <v>252.9878698</v>
      </c>
      <c r="C228" s="1">
        <v>32258</v>
      </c>
      <c r="D228" s="2">
        <v>355.59999999999997</v>
      </c>
      <c r="E228" s="2">
        <v>320.03999999999996</v>
      </c>
      <c r="F228" s="2">
        <v>24.383999999999997</v>
      </c>
      <c r="G228" s="2">
        <v>39.624000000000002</v>
      </c>
      <c r="H228" s="2">
        <v>54.863999999999997</v>
      </c>
      <c r="I228" s="2">
        <v>33.337499999999999</v>
      </c>
      <c r="J228" s="2">
        <v>686781852.23999989</v>
      </c>
      <c r="K228" s="2">
        <v>4506442.5999999996</v>
      </c>
      <c r="L228" s="2">
        <v>3850960.0399999996</v>
      </c>
      <c r="M228" s="2">
        <v>145.79599999999999</v>
      </c>
      <c r="N228" s="2">
        <v>215191647.03519997</v>
      </c>
      <c r="O228" s="1">
        <v>2064770.0639999998</v>
      </c>
      <c r="P228" s="2">
        <v>1348655.3671999997</v>
      </c>
      <c r="Q228" s="2">
        <v>81.787999999999997</v>
      </c>
      <c r="R228" s="1">
        <v>14817838.751359999</v>
      </c>
      <c r="S228" s="1">
        <v>5397570917455.9297</v>
      </c>
      <c r="T228" s="1">
        <v>25290.272000000001</v>
      </c>
      <c r="U228" s="2">
        <v>80332665.140799999</v>
      </c>
      <c r="V228" s="2">
        <v>925869.11599999992</v>
      </c>
      <c r="W228" s="1">
        <v>136</v>
      </c>
      <c r="X228" s="2">
        <v>2228640.7039999999</v>
      </c>
      <c r="Y228" s="2">
        <v>93.98</v>
      </c>
      <c r="Z228" s="2">
        <v>314.95999999999998</v>
      </c>
      <c r="AA228" s="2">
        <v>1597.6599999999999</v>
      </c>
      <c r="AB228" s="2">
        <v>1917.6999999999998</v>
      </c>
      <c r="AC228" s="2">
        <v>1031.24</v>
      </c>
      <c r="AD228" s="2">
        <v>1351.28</v>
      </c>
      <c r="AE228" s="2">
        <v>231.77499999999998</v>
      </c>
      <c r="AF228" s="2">
        <v>139.69999999999999</v>
      </c>
      <c r="AG228" s="2"/>
    </row>
    <row r="229" spans="1:33" x14ac:dyDescent="0.25">
      <c r="A229" s="1" t="s">
        <v>229</v>
      </c>
      <c r="B229" s="1">
        <v>226.20091887999999</v>
      </c>
      <c r="C229" s="1">
        <v>28838.652000000002</v>
      </c>
      <c r="D229" s="2">
        <v>347.97999999999996</v>
      </c>
      <c r="E229" s="2">
        <v>317.5</v>
      </c>
      <c r="F229" s="2">
        <v>22.097999999999999</v>
      </c>
      <c r="G229" s="2">
        <v>35.559999999999995</v>
      </c>
      <c r="H229" s="2">
        <v>50.8</v>
      </c>
      <c r="I229" s="2">
        <v>31.75</v>
      </c>
      <c r="J229" s="2">
        <v>595210938.60799992</v>
      </c>
      <c r="K229" s="2">
        <v>3982056.5519999997</v>
      </c>
      <c r="L229" s="2">
        <v>3424896.3759999997</v>
      </c>
      <c r="M229" s="2">
        <v>143.76399999999998</v>
      </c>
      <c r="N229" s="2">
        <v>188969067.22239998</v>
      </c>
      <c r="O229" s="1">
        <v>1818964.1039999998</v>
      </c>
      <c r="P229" s="2">
        <v>1192978.2591999997</v>
      </c>
      <c r="Q229" s="2">
        <v>81.025999999999996</v>
      </c>
      <c r="R229" s="1">
        <v>10738770.780479999</v>
      </c>
      <c r="S229" s="1">
        <v>4618816904489.6514</v>
      </c>
      <c r="T229" s="1">
        <v>24774.143999999997</v>
      </c>
      <c r="U229" s="2">
        <v>69926879.500799999</v>
      </c>
      <c r="V229" s="2">
        <v>820991.90639999998</v>
      </c>
      <c r="W229" s="1">
        <v>121</v>
      </c>
      <c r="X229" s="2">
        <v>1982834.7439999997</v>
      </c>
      <c r="Y229" s="2">
        <v>92.963999999999999</v>
      </c>
      <c r="Z229" s="2">
        <v>312.42</v>
      </c>
      <c r="AA229" s="2">
        <v>1577.34</v>
      </c>
      <c r="AB229" s="2">
        <v>1894.8399999999997</v>
      </c>
      <c r="AC229" s="2">
        <v>1013.4599999999999</v>
      </c>
      <c r="AD229" s="2">
        <v>1330.9599999999998</v>
      </c>
      <c r="AE229" s="2">
        <v>231.77499999999998</v>
      </c>
      <c r="AF229" s="2">
        <v>139.69999999999999</v>
      </c>
      <c r="AG229" s="2"/>
    </row>
    <row r="230" spans="1:33" x14ac:dyDescent="0.25">
      <c r="A230" s="1" t="s">
        <v>230</v>
      </c>
      <c r="B230" s="1">
        <v>202.39029583999999</v>
      </c>
      <c r="C230" s="1">
        <v>25741.883999999998</v>
      </c>
      <c r="D230" s="2">
        <v>340.36</v>
      </c>
      <c r="E230" s="2">
        <v>314.95999999999998</v>
      </c>
      <c r="F230" s="2">
        <v>20.065999999999999</v>
      </c>
      <c r="G230" s="2">
        <v>31.75</v>
      </c>
      <c r="H230" s="2">
        <v>46.99</v>
      </c>
      <c r="I230" s="2">
        <v>31.75</v>
      </c>
      <c r="J230" s="2">
        <v>516126967.74399996</v>
      </c>
      <c r="K230" s="2">
        <v>3506831.6959999995</v>
      </c>
      <c r="L230" s="2">
        <v>3047993.9039999996</v>
      </c>
      <c r="M230" s="2">
        <v>141.732</v>
      </c>
      <c r="N230" s="2">
        <v>165660107.3888</v>
      </c>
      <c r="O230" s="1">
        <v>1605932.2719999999</v>
      </c>
      <c r="P230" s="2">
        <v>1052049.5088</v>
      </c>
      <c r="Q230" s="2">
        <v>80.263999999999996</v>
      </c>
      <c r="R230" s="1">
        <v>7700281.3735999996</v>
      </c>
      <c r="S230" s="1">
        <v>3947477238139.4111</v>
      </c>
      <c r="T230" s="1">
        <v>24322.531999999999</v>
      </c>
      <c r="U230" s="2">
        <v>60769788.137599997</v>
      </c>
      <c r="V230" s="2">
        <v>722669.5223999999</v>
      </c>
      <c r="W230" s="1">
        <v>106</v>
      </c>
      <c r="X230" s="2">
        <v>1737028.7839999998</v>
      </c>
      <c r="Y230" s="2">
        <v>91.693999999999988</v>
      </c>
      <c r="Z230" s="2">
        <v>309.87999999999994</v>
      </c>
      <c r="AA230" s="2">
        <v>1559.56</v>
      </c>
      <c r="AB230" s="2">
        <v>1874.5199999999998</v>
      </c>
      <c r="AC230" s="2">
        <v>995.68000000000006</v>
      </c>
      <c r="AD230" s="2">
        <v>1310.6399999999999</v>
      </c>
      <c r="AE230" s="2">
        <v>231.77499999999998</v>
      </c>
      <c r="AF230" s="2">
        <v>139.69999999999999</v>
      </c>
      <c r="AG230" s="2"/>
    </row>
    <row r="231" spans="1:33" x14ac:dyDescent="0.25">
      <c r="A231" s="1" t="s">
        <v>231</v>
      </c>
      <c r="B231" s="1">
        <v>178.5796728</v>
      </c>
      <c r="C231" s="1">
        <v>22709.632000000001</v>
      </c>
      <c r="D231" s="2">
        <v>332.73999999999995</v>
      </c>
      <c r="E231" s="2">
        <v>312.42</v>
      </c>
      <c r="F231" s="2">
        <v>18.033999999999999</v>
      </c>
      <c r="G231" s="2">
        <v>28.194000000000003</v>
      </c>
      <c r="H231" s="2">
        <v>43.18</v>
      </c>
      <c r="I231" s="2">
        <v>30.162499999999998</v>
      </c>
      <c r="J231" s="2">
        <v>445367625.39199996</v>
      </c>
      <c r="K231" s="2">
        <v>3047993.9039999996</v>
      </c>
      <c r="L231" s="2">
        <v>2671091.4319999996</v>
      </c>
      <c r="M231" s="2">
        <v>139.95399999999998</v>
      </c>
      <c r="N231" s="2">
        <v>143599841.83199999</v>
      </c>
      <c r="O231" s="1">
        <v>1399455.2656</v>
      </c>
      <c r="P231" s="2">
        <v>917675.58399999992</v>
      </c>
      <c r="Q231" s="2">
        <v>79.501999999999995</v>
      </c>
      <c r="R231" s="1">
        <v>5369385.3902399996</v>
      </c>
      <c r="S231" s="1">
        <v>3329844745097.1904</v>
      </c>
      <c r="T231" s="1">
        <v>23806.403999999999</v>
      </c>
      <c r="U231" s="2">
        <v>52445159.625599995</v>
      </c>
      <c r="V231" s="2">
        <v>632540.67039999994</v>
      </c>
      <c r="W231" s="1">
        <v>92.4</v>
      </c>
      <c r="X231" s="2">
        <v>1514164.7135999999</v>
      </c>
      <c r="Y231" s="2">
        <v>90.423999999999992</v>
      </c>
      <c r="Z231" s="2">
        <v>304.79999999999995</v>
      </c>
      <c r="AA231" s="2">
        <v>1541.78</v>
      </c>
      <c r="AB231" s="2">
        <v>1854.1999999999998</v>
      </c>
      <c r="AC231" s="2">
        <v>977.9</v>
      </c>
      <c r="AD231" s="2">
        <v>1290.32</v>
      </c>
      <c r="AE231" s="2">
        <v>231.77499999999998</v>
      </c>
      <c r="AF231" s="2">
        <v>139.69999999999999</v>
      </c>
      <c r="AG231" s="2"/>
    </row>
    <row r="232" spans="1:33" x14ac:dyDescent="0.25">
      <c r="A232" s="1" t="s">
        <v>232</v>
      </c>
      <c r="B232" s="1">
        <v>157.74537763999999</v>
      </c>
      <c r="C232" s="1">
        <v>20128.991999999998</v>
      </c>
      <c r="D232" s="2">
        <v>327.65999999999997</v>
      </c>
      <c r="E232" s="2">
        <v>309.87999999999994</v>
      </c>
      <c r="F232" s="2">
        <v>15.493999999999998</v>
      </c>
      <c r="G232" s="2">
        <v>25.145999999999997</v>
      </c>
      <c r="H232" s="2">
        <v>40.386000000000003</v>
      </c>
      <c r="I232" s="2">
        <v>28.574999999999999</v>
      </c>
      <c r="J232" s="2">
        <v>388343920.08479995</v>
      </c>
      <c r="K232" s="2">
        <v>2687478.4959999998</v>
      </c>
      <c r="L232" s="2">
        <v>2376124.2799999998</v>
      </c>
      <c r="M232" s="2">
        <v>138.93799999999999</v>
      </c>
      <c r="N232" s="2">
        <v>125285659.10559998</v>
      </c>
      <c r="O232" s="1">
        <v>1230668.5063999998</v>
      </c>
      <c r="P232" s="2">
        <v>807882.2551999999</v>
      </c>
      <c r="Q232" s="2">
        <v>78.993999999999986</v>
      </c>
      <c r="R232" s="1">
        <v>3800192.915728</v>
      </c>
      <c r="S232" s="1">
        <v>2873333771979.0269</v>
      </c>
      <c r="T232" s="1">
        <v>23419.307999999997</v>
      </c>
      <c r="U232" s="2">
        <v>45785456.815999992</v>
      </c>
      <c r="V232" s="2">
        <v>560437.58880000003</v>
      </c>
      <c r="W232" s="1">
        <v>81</v>
      </c>
      <c r="X232" s="2">
        <v>1327352.1839999999</v>
      </c>
      <c r="Y232" s="2">
        <v>89.408000000000001</v>
      </c>
      <c r="Z232" s="2">
        <v>302.26</v>
      </c>
      <c r="AA232" s="2">
        <v>1529.08</v>
      </c>
      <c r="AB232" s="2">
        <v>1838.96</v>
      </c>
      <c r="AC232" s="2">
        <v>965.19999999999993</v>
      </c>
      <c r="AD232" s="2">
        <v>1275.08</v>
      </c>
      <c r="AE232" s="2">
        <v>231.77499999999998</v>
      </c>
      <c r="AF232" s="2">
        <v>139.69999999999999</v>
      </c>
      <c r="AG232" s="2"/>
    </row>
    <row r="233" spans="1:33" x14ac:dyDescent="0.25">
      <c r="A233" s="1" t="s">
        <v>233</v>
      </c>
      <c r="B233" s="1">
        <v>142.86373824</v>
      </c>
      <c r="C233" s="1">
        <v>18193.511999999999</v>
      </c>
      <c r="D233" s="2">
        <v>322.58</v>
      </c>
      <c r="E233" s="2">
        <v>309.87999999999994</v>
      </c>
      <c r="F233" s="2">
        <v>13.97</v>
      </c>
      <c r="G233" s="2">
        <v>22.86</v>
      </c>
      <c r="H233" s="2">
        <v>38.099999999999994</v>
      </c>
      <c r="I233" s="2">
        <v>28.574999999999999</v>
      </c>
      <c r="J233" s="2">
        <v>346720777.52479994</v>
      </c>
      <c r="K233" s="2">
        <v>2408898.4079999998</v>
      </c>
      <c r="L233" s="2">
        <v>2146705.3839999996</v>
      </c>
      <c r="M233" s="2">
        <v>138.17600000000002</v>
      </c>
      <c r="N233" s="2">
        <v>112382484.91199999</v>
      </c>
      <c r="O233" s="1">
        <v>1106126.8199999998</v>
      </c>
      <c r="P233" s="2">
        <v>727585.64159999986</v>
      </c>
      <c r="Q233" s="2">
        <v>78.48599999999999</v>
      </c>
      <c r="R233" s="1">
        <v>2851185.2653599996</v>
      </c>
      <c r="S233" s="1">
        <v>2526922504142.3032</v>
      </c>
      <c r="T233" s="1">
        <v>23225.759999999998</v>
      </c>
      <c r="U233" s="2">
        <v>41123664.849279992</v>
      </c>
      <c r="V233" s="2">
        <v>506360.27759999991</v>
      </c>
      <c r="W233" s="1">
        <v>73</v>
      </c>
      <c r="X233" s="2">
        <v>1196255.6719999998</v>
      </c>
      <c r="Y233" s="2">
        <v>88.646000000000001</v>
      </c>
      <c r="Z233" s="2">
        <v>299.72000000000003</v>
      </c>
      <c r="AA233" s="2">
        <v>1521.4599999999998</v>
      </c>
      <c r="AB233" s="2">
        <v>1831.3399999999997</v>
      </c>
      <c r="AC233" s="2">
        <v>955.04</v>
      </c>
      <c r="AD233" s="2">
        <v>1264.9199999999998</v>
      </c>
      <c r="AE233" s="2">
        <v>231.77499999999998</v>
      </c>
      <c r="AF233" s="2">
        <v>139.69999999999999</v>
      </c>
      <c r="AG233" s="2"/>
    </row>
    <row r="234" spans="1:33" x14ac:dyDescent="0.25">
      <c r="A234" s="1" t="s">
        <v>234</v>
      </c>
      <c r="B234" s="1">
        <v>129.47026277999998</v>
      </c>
      <c r="C234" s="1">
        <v>16516.096000000001</v>
      </c>
      <c r="D234" s="2">
        <v>317.5</v>
      </c>
      <c r="E234" s="2">
        <v>307.33999999999997</v>
      </c>
      <c r="F234" s="2">
        <v>13.081</v>
      </c>
      <c r="G234" s="2">
        <v>20.574000000000002</v>
      </c>
      <c r="H234" s="2">
        <v>35.813999999999993</v>
      </c>
      <c r="I234" s="2">
        <v>26.987499999999997</v>
      </c>
      <c r="J234" s="2">
        <v>308011254.94399995</v>
      </c>
      <c r="K234" s="2">
        <v>2163092.4479999999</v>
      </c>
      <c r="L234" s="2">
        <v>1933673.5519999999</v>
      </c>
      <c r="M234" s="2">
        <v>136.65199999999999</v>
      </c>
      <c r="N234" s="2">
        <v>100311773.56959999</v>
      </c>
      <c r="O234" s="1">
        <v>989778.66559999983</v>
      </c>
      <c r="P234" s="2">
        <v>650566.44079999998</v>
      </c>
      <c r="Q234" s="2">
        <v>77.977999999999994</v>
      </c>
      <c r="R234" s="1">
        <v>2122780.2705599996</v>
      </c>
      <c r="S234" s="1">
        <v>2220791616286.5938</v>
      </c>
      <c r="T234" s="1">
        <v>22838.663999999997</v>
      </c>
      <c r="U234" s="2">
        <v>36045641.456959993</v>
      </c>
      <c r="V234" s="2">
        <v>449005.55359999993</v>
      </c>
      <c r="W234" s="1">
        <v>64.900000000000006</v>
      </c>
      <c r="X234" s="2">
        <v>1063520.4535999999</v>
      </c>
      <c r="Y234" s="2">
        <v>87.884</v>
      </c>
      <c r="Z234" s="2">
        <v>297.17999999999995</v>
      </c>
      <c r="AA234" s="2">
        <v>1503.68</v>
      </c>
      <c r="AB234" s="2">
        <v>1811.0199999999998</v>
      </c>
      <c r="AC234" s="2">
        <v>942.34</v>
      </c>
      <c r="AD234" s="2">
        <v>1249.68</v>
      </c>
      <c r="AE234" s="2">
        <v>231.77499999999998</v>
      </c>
      <c r="AF234" s="2">
        <v>139.69999999999999</v>
      </c>
      <c r="AG234" s="2"/>
    </row>
    <row r="235" spans="1:33" x14ac:dyDescent="0.25">
      <c r="A235" s="1" t="s">
        <v>235</v>
      </c>
      <c r="B235" s="1">
        <v>117.56495126</v>
      </c>
      <c r="C235" s="1">
        <v>14967.712</v>
      </c>
      <c r="D235" s="2">
        <v>314.95999999999998</v>
      </c>
      <c r="E235" s="2">
        <v>307.33999999999997</v>
      </c>
      <c r="F235" s="2">
        <v>11.937999999999999</v>
      </c>
      <c r="G235" s="2">
        <v>18.668999999999997</v>
      </c>
      <c r="H235" s="2">
        <v>33.781999999999996</v>
      </c>
      <c r="I235" s="2">
        <v>26.987499999999997</v>
      </c>
      <c r="J235" s="2">
        <v>275545203.74719995</v>
      </c>
      <c r="K235" s="2">
        <v>1950060.6159999999</v>
      </c>
      <c r="L235" s="2">
        <v>1753415.8479999998</v>
      </c>
      <c r="M235" s="2">
        <v>135.636</v>
      </c>
      <c r="N235" s="2">
        <v>89905987.929599985</v>
      </c>
      <c r="O235" s="1">
        <v>889817.57519999985</v>
      </c>
      <c r="P235" s="2">
        <v>586656.89119999995</v>
      </c>
      <c r="Q235" s="2">
        <v>77.469999999999985</v>
      </c>
      <c r="R235" s="1">
        <v>1598328.6743039999</v>
      </c>
      <c r="S235" s="1">
        <v>1968367901738.9036</v>
      </c>
      <c r="T235" s="1">
        <v>22774.147999999997</v>
      </c>
      <c r="U235" s="2">
        <v>32674166.909599997</v>
      </c>
      <c r="V235" s="2">
        <v>408037.89359999995</v>
      </c>
      <c r="W235" s="1">
        <v>58.9</v>
      </c>
      <c r="X235" s="2">
        <v>965198.06959999993</v>
      </c>
      <c r="Y235" s="2">
        <v>87.122</v>
      </c>
      <c r="Z235" s="2">
        <v>297.17999999999995</v>
      </c>
      <c r="AA235" s="2">
        <v>1501.1399999999999</v>
      </c>
      <c r="AB235" s="2">
        <v>1808.48</v>
      </c>
      <c r="AC235" s="2">
        <v>937.25999999999988</v>
      </c>
      <c r="AD235" s="2">
        <v>1244.5999999999999</v>
      </c>
      <c r="AE235" s="2">
        <v>231.77499999999998</v>
      </c>
      <c r="AF235" s="2">
        <v>139.69999999999999</v>
      </c>
      <c r="AG235" s="2"/>
    </row>
    <row r="236" spans="1:33" x14ac:dyDescent="0.25">
      <c r="A236" s="1" t="s">
        <v>236</v>
      </c>
      <c r="B236" s="1">
        <v>107.14780368</v>
      </c>
      <c r="C236" s="1">
        <v>13612.876</v>
      </c>
      <c r="D236" s="2">
        <v>312.42</v>
      </c>
      <c r="E236" s="2">
        <v>304.79999999999995</v>
      </c>
      <c r="F236" s="2">
        <v>10.921999999999999</v>
      </c>
      <c r="G236" s="2">
        <v>17.018000000000001</v>
      </c>
      <c r="H236" s="2">
        <v>32.257999999999996</v>
      </c>
      <c r="I236" s="2">
        <v>26.987499999999997</v>
      </c>
      <c r="J236" s="2">
        <v>248490161.08319998</v>
      </c>
      <c r="K236" s="2">
        <v>1769802.9119999998</v>
      </c>
      <c r="L236" s="2">
        <v>1596100.0336</v>
      </c>
      <c r="M236" s="2">
        <v>134.874</v>
      </c>
      <c r="N236" s="2">
        <v>81165127.991999999</v>
      </c>
      <c r="O236" s="1">
        <v>806243.54879999999</v>
      </c>
      <c r="P236" s="2">
        <v>530940.87359999993</v>
      </c>
      <c r="Q236" s="2">
        <v>77.215999999999994</v>
      </c>
      <c r="R236" s="1">
        <v>1219558.0770079999</v>
      </c>
      <c r="S236" s="1">
        <v>1756224567172.2278</v>
      </c>
      <c r="T236" s="1">
        <v>22516.083999999999</v>
      </c>
      <c r="U236" s="2">
        <v>29177822.934559993</v>
      </c>
      <c r="V236" s="2">
        <v>368708.93999999994</v>
      </c>
      <c r="W236" s="1">
        <v>53.2</v>
      </c>
      <c r="X236" s="2">
        <v>871791.80479999993</v>
      </c>
      <c r="Y236" s="2">
        <v>86.614000000000004</v>
      </c>
      <c r="Z236" s="2">
        <v>294.64</v>
      </c>
      <c r="AA236" s="2">
        <v>1490.98</v>
      </c>
      <c r="AB236" s="2">
        <v>1795.78</v>
      </c>
      <c r="AC236" s="2">
        <v>929.64</v>
      </c>
      <c r="AD236" s="2">
        <v>1234.44</v>
      </c>
      <c r="AE236" s="2">
        <v>231.77499999999998</v>
      </c>
      <c r="AF236" s="2">
        <v>139.69999999999999</v>
      </c>
      <c r="AG236" s="2"/>
    </row>
    <row r="237" spans="1:33" x14ac:dyDescent="0.25">
      <c r="A237" s="1" t="s">
        <v>237</v>
      </c>
      <c r="B237" s="1">
        <v>96.730656100000004</v>
      </c>
      <c r="C237" s="1">
        <v>12322.556</v>
      </c>
      <c r="D237" s="2">
        <v>307.33999999999997</v>
      </c>
      <c r="E237" s="2">
        <v>304.79999999999995</v>
      </c>
      <c r="F237" s="2">
        <v>9.9060000000000006</v>
      </c>
      <c r="G237" s="2">
        <v>15.366999999999999</v>
      </c>
      <c r="H237" s="2">
        <v>30.479999999999997</v>
      </c>
      <c r="I237" s="2">
        <v>25.4</v>
      </c>
      <c r="J237" s="2">
        <v>221851349.84479997</v>
      </c>
      <c r="K237" s="2">
        <v>1586267.7951999998</v>
      </c>
      <c r="L237" s="2">
        <v>1440422.9256</v>
      </c>
      <c r="M237" s="2">
        <v>134.11199999999999</v>
      </c>
      <c r="N237" s="2">
        <v>72424268.054399997</v>
      </c>
      <c r="O237" s="1">
        <v>722669.5223999999</v>
      </c>
      <c r="P237" s="2">
        <v>476863.5624</v>
      </c>
      <c r="Q237" s="2">
        <v>76.707999999999998</v>
      </c>
      <c r="R237" s="1">
        <v>907384.50780799997</v>
      </c>
      <c r="S237" s="1">
        <v>1552137308601.7549</v>
      </c>
      <c r="T237" s="1">
        <v>22258.02</v>
      </c>
      <c r="U237" s="2">
        <v>26056087.242559999</v>
      </c>
      <c r="V237" s="2">
        <v>331018.69279999996</v>
      </c>
      <c r="W237" s="1">
        <v>47.5</v>
      </c>
      <c r="X237" s="2">
        <v>778385.53999999992</v>
      </c>
      <c r="Y237" s="2">
        <v>85.85199999999999</v>
      </c>
      <c r="Z237" s="2">
        <v>292.09999999999997</v>
      </c>
      <c r="AA237" s="2">
        <v>1483.36</v>
      </c>
      <c r="AB237" s="2">
        <v>1788.16</v>
      </c>
      <c r="AC237" s="2">
        <v>919.48</v>
      </c>
      <c r="AD237" s="2">
        <v>1224.28</v>
      </c>
      <c r="AE237" s="2">
        <v>231.77499999999998</v>
      </c>
      <c r="AF237" s="2">
        <v>139.69999999999999</v>
      </c>
      <c r="AG237" s="2"/>
    </row>
    <row r="238" spans="1:33" x14ac:dyDescent="0.25">
      <c r="A238" s="1" t="s">
        <v>238</v>
      </c>
      <c r="B238" s="1">
        <v>86.313508519999999</v>
      </c>
      <c r="C238" s="1">
        <v>10967.72</v>
      </c>
      <c r="D238" s="2">
        <v>309.87999999999994</v>
      </c>
      <c r="E238" s="2">
        <v>254</v>
      </c>
      <c r="F238" s="2">
        <v>9.1439999999999984</v>
      </c>
      <c r="G238" s="2">
        <v>16.256</v>
      </c>
      <c r="H238" s="2">
        <v>31.495999999999999</v>
      </c>
      <c r="I238" s="2">
        <v>23.8125</v>
      </c>
      <c r="J238" s="2">
        <v>197709927.15999997</v>
      </c>
      <c r="K238" s="2">
        <v>1415842.3296000001</v>
      </c>
      <c r="L238" s="2">
        <v>1278190.9919999999</v>
      </c>
      <c r="M238" s="2">
        <v>134.11199999999999</v>
      </c>
      <c r="N238" s="2">
        <v>44536762.539199993</v>
      </c>
      <c r="O238" s="1">
        <v>532579.57999999996</v>
      </c>
      <c r="P238" s="2">
        <v>350683.16959999996</v>
      </c>
      <c r="Q238" s="2">
        <v>63.753999999999991</v>
      </c>
      <c r="R238" s="1">
        <v>874085.99375999998</v>
      </c>
      <c r="S238" s="1">
        <v>958673043548.1427</v>
      </c>
      <c r="T238" s="1">
        <v>18645.124</v>
      </c>
      <c r="U238" s="2">
        <v>19229891.862719998</v>
      </c>
      <c r="V238" s="2">
        <v>291689.73920000001</v>
      </c>
      <c r="W238" s="1">
        <v>42.4</v>
      </c>
      <c r="X238" s="2">
        <v>694811.51359999995</v>
      </c>
      <c r="Y238" s="2">
        <v>71.373999999999995</v>
      </c>
      <c r="Z238" s="2">
        <v>294.64</v>
      </c>
      <c r="AA238" s="2">
        <v>1336.04</v>
      </c>
      <c r="AB238" s="2">
        <v>1590.04</v>
      </c>
      <c r="AC238" s="2">
        <v>873.75999999999988</v>
      </c>
      <c r="AD238" s="2">
        <v>1127.76</v>
      </c>
      <c r="AE238" s="2">
        <v>234.95</v>
      </c>
      <c r="AF238" s="2">
        <v>139.69999999999999</v>
      </c>
      <c r="AG238" s="2"/>
    </row>
    <row r="239" spans="1:33" x14ac:dyDescent="0.25">
      <c r="A239" s="1" t="s">
        <v>239</v>
      </c>
      <c r="B239" s="1">
        <v>78.872688819999993</v>
      </c>
      <c r="C239" s="1">
        <v>10064.495999999999</v>
      </c>
      <c r="D239" s="2">
        <v>307.33999999999997</v>
      </c>
      <c r="E239" s="2">
        <v>254</v>
      </c>
      <c r="F239" s="2">
        <v>8.7629999999999981</v>
      </c>
      <c r="G239" s="2">
        <v>14.604999999999999</v>
      </c>
      <c r="H239" s="2">
        <v>29.971999999999998</v>
      </c>
      <c r="I239" s="2">
        <v>23.8125</v>
      </c>
      <c r="J239" s="2">
        <v>176898355.88</v>
      </c>
      <c r="K239" s="2">
        <v>1276552.2856000001</v>
      </c>
      <c r="L239" s="2">
        <v>1156926.7183999999</v>
      </c>
      <c r="M239" s="2">
        <v>132.84200000000001</v>
      </c>
      <c r="N239" s="2">
        <v>39874970.572479993</v>
      </c>
      <c r="O239" s="1">
        <v>476863.5624</v>
      </c>
      <c r="P239" s="2">
        <v>314631.62879999995</v>
      </c>
      <c r="Q239" s="2">
        <v>62.991999999999997</v>
      </c>
      <c r="R239" s="1">
        <v>657645.65244799992</v>
      </c>
      <c r="S239" s="1">
        <v>848573338266.70337</v>
      </c>
      <c r="T239" s="1">
        <v>18580.608</v>
      </c>
      <c r="U239" s="2">
        <v>17231981.019839998</v>
      </c>
      <c r="V239" s="2">
        <v>262193.02399999998</v>
      </c>
      <c r="W239" s="1">
        <v>38.299999999999997</v>
      </c>
      <c r="X239" s="2">
        <v>627624.55119999987</v>
      </c>
      <c r="Y239" s="2">
        <v>70.866</v>
      </c>
      <c r="Z239" s="2">
        <v>292.09999999999997</v>
      </c>
      <c r="AA239" s="2">
        <v>1333.5</v>
      </c>
      <c r="AB239" s="2">
        <v>1587.5</v>
      </c>
      <c r="AC239" s="2">
        <v>868.68000000000006</v>
      </c>
      <c r="AD239" s="2">
        <v>1122.68</v>
      </c>
      <c r="AE239" s="2">
        <v>234.95</v>
      </c>
      <c r="AF239" s="2">
        <v>139.69999999999999</v>
      </c>
      <c r="AG239" s="2"/>
    </row>
    <row r="240" spans="1:33" x14ac:dyDescent="0.25">
      <c r="A240" s="1" t="s">
        <v>240</v>
      </c>
      <c r="B240" s="1">
        <v>74.408197000000001</v>
      </c>
      <c r="C240" s="1">
        <v>9419.3359999999993</v>
      </c>
      <c r="D240" s="2">
        <v>309.87999999999994</v>
      </c>
      <c r="E240" s="2">
        <v>205.232</v>
      </c>
      <c r="F240" s="2">
        <v>9.3979999999999997</v>
      </c>
      <c r="G240" s="2">
        <v>16.256</v>
      </c>
      <c r="H240" s="2">
        <v>28.955999999999996</v>
      </c>
      <c r="I240" s="2">
        <v>23.8125</v>
      </c>
      <c r="J240" s="2">
        <v>162746487.40959999</v>
      </c>
      <c r="K240" s="2">
        <v>1178229.9016</v>
      </c>
      <c r="L240" s="2">
        <v>1052049.5088</v>
      </c>
      <c r="M240" s="2">
        <v>131.57199999999997</v>
      </c>
      <c r="N240" s="2">
        <v>23433829.261279996</v>
      </c>
      <c r="O240" s="1">
        <v>349044.4632</v>
      </c>
      <c r="P240" s="2">
        <v>227780.18959999998</v>
      </c>
      <c r="Q240" s="2">
        <v>49.783999999999999</v>
      </c>
      <c r="R240" s="1">
        <v>711755.73777599994</v>
      </c>
      <c r="S240" s="1">
        <v>504847429095.38043</v>
      </c>
      <c r="T240" s="1">
        <v>15096.743999999999</v>
      </c>
      <c r="U240" s="2">
        <v>12570189.053119998</v>
      </c>
      <c r="V240" s="2">
        <v>234335.01519999999</v>
      </c>
      <c r="W240" s="1">
        <v>35.4</v>
      </c>
      <c r="X240" s="2">
        <v>580102.06559999997</v>
      </c>
      <c r="Y240" s="2">
        <v>57.15</v>
      </c>
      <c r="Z240" s="2">
        <v>294.64</v>
      </c>
      <c r="AA240" s="2">
        <v>1193.8</v>
      </c>
      <c r="AB240" s="2">
        <v>1399.54</v>
      </c>
      <c r="AC240" s="2">
        <v>825.5</v>
      </c>
      <c r="AD240" s="2">
        <v>1031.24</v>
      </c>
      <c r="AE240" s="2">
        <v>234.95</v>
      </c>
      <c r="AF240" s="2">
        <v>139.69999999999999</v>
      </c>
      <c r="AG240" s="2"/>
    </row>
    <row r="241" spans="1:33" x14ac:dyDescent="0.25">
      <c r="A241" s="1" t="s">
        <v>241</v>
      </c>
      <c r="B241" s="1">
        <v>66.967377299999995</v>
      </c>
      <c r="C241" s="1">
        <v>8451.5959999999995</v>
      </c>
      <c r="D241" s="2">
        <v>307.33999999999997</v>
      </c>
      <c r="E241" s="2">
        <v>204.47</v>
      </c>
      <c r="F241" s="2">
        <v>8.5090000000000003</v>
      </c>
      <c r="G241" s="2">
        <v>14.604999999999999</v>
      </c>
      <c r="H241" s="2">
        <v>27.431999999999999</v>
      </c>
      <c r="I241" s="2">
        <v>23.8125</v>
      </c>
      <c r="J241" s="2">
        <v>144848536.10879999</v>
      </c>
      <c r="K241" s="2">
        <v>1052049.5088</v>
      </c>
      <c r="L241" s="2">
        <v>945533.59279999998</v>
      </c>
      <c r="M241" s="2">
        <v>130.81</v>
      </c>
      <c r="N241" s="2">
        <v>20811571.279999997</v>
      </c>
      <c r="O241" s="1">
        <v>311354.21599999996</v>
      </c>
      <c r="P241" s="2">
        <v>203199.59359999999</v>
      </c>
      <c r="Q241" s="2">
        <v>49.529999999999994</v>
      </c>
      <c r="R241" s="1">
        <v>524451.59625599999</v>
      </c>
      <c r="S241" s="1">
        <v>443084179791.15839</v>
      </c>
      <c r="T241" s="1">
        <v>14967.712</v>
      </c>
      <c r="U241" s="2">
        <v>11155002.206079999</v>
      </c>
      <c r="V241" s="2">
        <v>209754.4192</v>
      </c>
      <c r="W241" s="1">
        <v>31.7</v>
      </c>
      <c r="X241" s="2">
        <v>519469.92879999994</v>
      </c>
      <c r="Y241" s="2">
        <v>56.641999999999996</v>
      </c>
      <c r="Z241" s="2">
        <v>292.09999999999997</v>
      </c>
      <c r="AA241" s="2">
        <v>1188.7199999999998</v>
      </c>
      <c r="AB241" s="2">
        <v>1394.4599999999998</v>
      </c>
      <c r="AC241" s="2">
        <v>820.41999999999985</v>
      </c>
      <c r="AD241" s="2">
        <v>1023.6199999999999</v>
      </c>
      <c r="AE241" s="2">
        <v>234.95</v>
      </c>
      <c r="AF241" s="2">
        <v>139.69999999999999</v>
      </c>
      <c r="AG241" s="2"/>
    </row>
    <row r="242" spans="1:33" x14ac:dyDescent="0.25">
      <c r="A242" s="1" t="s">
        <v>242</v>
      </c>
      <c r="B242" s="1">
        <v>59.526557599999997</v>
      </c>
      <c r="C242" s="1">
        <v>7548.3719999999994</v>
      </c>
      <c r="D242" s="2">
        <v>302.26</v>
      </c>
      <c r="E242" s="2">
        <v>203.45399999999998</v>
      </c>
      <c r="F242" s="2">
        <v>7.4929999999999994</v>
      </c>
      <c r="G242" s="2">
        <v>13.081</v>
      </c>
      <c r="H242" s="2">
        <v>25.907999999999998</v>
      </c>
      <c r="I242" s="2">
        <v>22.224999999999998</v>
      </c>
      <c r="J242" s="2">
        <v>127783047.65919998</v>
      </c>
      <c r="K242" s="2">
        <v>934062.64799999993</v>
      </c>
      <c r="L242" s="2">
        <v>843933.79599999997</v>
      </c>
      <c r="M242" s="2">
        <v>130.30199999999999</v>
      </c>
      <c r="N242" s="2">
        <v>18355805.868960001</v>
      </c>
      <c r="O242" s="1">
        <v>275302.6752</v>
      </c>
      <c r="P242" s="2">
        <v>180257.70399999997</v>
      </c>
      <c r="Q242" s="2">
        <v>49.275999999999996</v>
      </c>
      <c r="R242" s="1">
        <v>377105.67159359995</v>
      </c>
      <c r="S242" s="1">
        <v>386691647817.73822</v>
      </c>
      <c r="T242" s="1">
        <v>14709.647999999999</v>
      </c>
      <c r="U242" s="2">
        <v>9781438.5015999991</v>
      </c>
      <c r="V242" s="2">
        <v>185173.82319999998</v>
      </c>
      <c r="W242" s="1">
        <v>27.8</v>
      </c>
      <c r="X242" s="2">
        <v>455560.37919999997</v>
      </c>
      <c r="Y242" s="2">
        <v>56.133999999999993</v>
      </c>
      <c r="Z242" s="2">
        <v>289.56</v>
      </c>
      <c r="AA242" s="2">
        <v>1178.56</v>
      </c>
      <c r="AB242" s="2">
        <v>1381.76</v>
      </c>
      <c r="AC242" s="2">
        <v>807.72</v>
      </c>
      <c r="AD242" s="2">
        <v>1010.9199999999998</v>
      </c>
      <c r="AE242" s="2">
        <v>234.95</v>
      </c>
      <c r="AF242" s="2">
        <v>139.69999999999999</v>
      </c>
      <c r="AG242" s="2"/>
    </row>
    <row r="243" spans="1:33" x14ac:dyDescent="0.25">
      <c r="A243" s="1" t="s">
        <v>243</v>
      </c>
      <c r="B243" s="1">
        <v>52.085737899999998</v>
      </c>
      <c r="C243" s="1">
        <v>6645.1480000000001</v>
      </c>
      <c r="D243" s="2">
        <v>317.5</v>
      </c>
      <c r="E243" s="2">
        <v>166.62399999999997</v>
      </c>
      <c r="F243" s="2">
        <v>7.6199999999999992</v>
      </c>
      <c r="G243" s="2">
        <v>13.208</v>
      </c>
      <c r="H243" s="2">
        <v>20.827999999999996</v>
      </c>
      <c r="I243" s="2">
        <v>19.049999999999997</v>
      </c>
      <c r="J243" s="2">
        <v>118625956.29599999</v>
      </c>
      <c r="K243" s="2">
        <v>839017.67680000002</v>
      </c>
      <c r="L243" s="2">
        <v>747250.11839999992</v>
      </c>
      <c r="M243" s="2">
        <v>133.35</v>
      </c>
      <c r="N243" s="2">
        <v>10197669.927199999</v>
      </c>
      <c r="O243" s="1">
        <v>188451.23599999998</v>
      </c>
      <c r="P243" s="2">
        <v>122411.36807999999</v>
      </c>
      <c r="Q243" s="2">
        <v>39.116</v>
      </c>
      <c r="R243" s="1">
        <v>308427.48636959994</v>
      </c>
      <c r="S243" s="1">
        <v>236043026688.74438</v>
      </c>
      <c r="T243" s="1">
        <v>12645.136</v>
      </c>
      <c r="U243" s="2">
        <v>6992687.9500799999</v>
      </c>
      <c r="V243" s="2">
        <v>159773.87399999998</v>
      </c>
      <c r="W243" s="1">
        <v>25.4</v>
      </c>
      <c r="X243" s="2">
        <v>416231.42559999996</v>
      </c>
      <c r="Y243" s="2">
        <v>45.466000000000001</v>
      </c>
      <c r="Z243" s="2">
        <v>304.79999999999995</v>
      </c>
      <c r="AA243" s="2">
        <v>1104.8999999999999</v>
      </c>
      <c r="AB243" s="2">
        <v>1272.54</v>
      </c>
      <c r="AC243" s="2">
        <v>802.64</v>
      </c>
      <c r="AD243" s="2">
        <v>967.74</v>
      </c>
      <c r="AE243" s="2">
        <v>257.17500000000001</v>
      </c>
      <c r="AF243" s="2">
        <v>88.899999999999991</v>
      </c>
      <c r="AG243" s="2"/>
    </row>
    <row r="244" spans="1:33" x14ac:dyDescent="0.25">
      <c r="A244" s="1" t="s">
        <v>244</v>
      </c>
      <c r="B244" s="1">
        <v>44.644918199999999</v>
      </c>
      <c r="C244" s="1">
        <v>5670.9563999999991</v>
      </c>
      <c r="D244" s="2">
        <v>312.42</v>
      </c>
      <c r="E244" s="2">
        <v>165.60799999999998</v>
      </c>
      <c r="F244" s="2">
        <v>6.6040000000000001</v>
      </c>
      <c r="G244" s="2">
        <v>11.176</v>
      </c>
      <c r="H244" s="2">
        <v>18.795999999999999</v>
      </c>
      <c r="I244" s="2">
        <v>19.049999999999997</v>
      </c>
      <c r="J244" s="2">
        <v>99063079.292799994</v>
      </c>
      <c r="K244" s="2">
        <v>706282.4584</v>
      </c>
      <c r="L244" s="2">
        <v>632540.67039999994</v>
      </c>
      <c r="M244" s="2">
        <v>132.334</v>
      </c>
      <c r="N244" s="2">
        <v>8449497.9396799989</v>
      </c>
      <c r="O244" s="1">
        <v>156660.33184</v>
      </c>
      <c r="P244" s="2">
        <v>102255.27936</v>
      </c>
      <c r="Q244" s="2">
        <v>38.607999999999997</v>
      </c>
      <c r="R244" s="1">
        <v>190217.76149919999</v>
      </c>
      <c r="S244" s="1">
        <v>193345823908.86911</v>
      </c>
      <c r="T244" s="1">
        <v>12451.588</v>
      </c>
      <c r="U244" s="2">
        <v>5785616.8158399994</v>
      </c>
      <c r="V244" s="2">
        <v>133882.31287999998</v>
      </c>
      <c r="W244" s="1">
        <v>21.3</v>
      </c>
      <c r="X244" s="2">
        <v>349044.4632</v>
      </c>
      <c r="Y244" s="2">
        <v>44.957999999999998</v>
      </c>
      <c r="Z244" s="2">
        <v>302.26</v>
      </c>
      <c r="AA244" s="2">
        <v>1094.74</v>
      </c>
      <c r="AB244" s="2">
        <v>1259.8399999999999</v>
      </c>
      <c r="AC244" s="2">
        <v>789.93999999999994</v>
      </c>
      <c r="AD244" s="2">
        <v>955.04</v>
      </c>
      <c r="AE244" s="2">
        <v>257.17500000000001</v>
      </c>
      <c r="AF244" s="2">
        <v>88.899999999999991</v>
      </c>
      <c r="AG244" s="2"/>
    </row>
    <row r="245" spans="1:33" x14ac:dyDescent="0.25">
      <c r="A245" s="1" t="s">
        <v>245</v>
      </c>
      <c r="B245" s="1">
        <v>38.69226244</v>
      </c>
      <c r="C245" s="1">
        <v>4935.4740000000002</v>
      </c>
      <c r="D245" s="2">
        <v>309.87999999999994</v>
      </c>
      <c r="E245" s="2">
        <v>164.846</v>
      </c>
      <c r="F245" s="2">
        <v>5.8419999999999996</v>
      </c>
      <c r="G245" s="2">
        <v>9.6519999999999992</v>
      </c>
      <c r="H245" s="2">
        <v>17.272000000000002</v>
      </c>
      <c r="I245" s="2">
        <v>19.049999999999997</v>
      </c>
      <c r="J245" s="2">
        <v>84911210.822399989</v>
      </c>
      <c r="K245" s="2">
        <v>609598.78079999995</v>
      </c>
      <c r="L245" s="2">
        <v>547327.93759999995</v>
      </c>
      <c r="M245" s="2">
        <v>131.31799999999998</v>
      </c>
      <c r="N245" s="2">
        <v>7200803.6628799997</v>
      </c>
      <c r="O245" s="1">
        <v>133882.31287999998</v>
      </c>
      <c r="P245" s="2">
        <v>87506.921759999983</v>
      </c>
      <c r="Q245" s="2">
        <v>38.353999999999999</v>
      </c>
      <c r="R245" s="1">
        <v>124869.42767999998</v>
      </c>
      <c r="S245" s="1">
        <v>163001270989.83826</v>
      </c>
      <c r="T245" s="1">
        <v>12387.071999999998</v>
      </c>
      <c r="U245" s="2">
        <v>4911530.8220799994</v>
      </c>
      <c r="V245" s="2">
        <v>115201.05992</v>
      </c>
      <c r="W245" s="1">
        <v>18.3</v>
      </c>
      <c r="X245" s="2">
        <v>299883.27119999996</v>
      </c>
      <c r="Y245" s="2">
        <v>44.449999999999996</v>
      </c>
      <c r="Z245" s="2">
        <v>299.72000000000003</v>
      </c>
      <c r="AA245" s="2">
        <v>1089.6599999999999</v>
      </c>
      <c r="AB245" s="2">
        <v>1254.76</v>
      </c>
      <c r="AC245" s="2">
        <v>784.8599999999999</v>
      </c>
      <c r="AD245" s="2">
        <v>949.95999999999992</v>
      </c>
      <c r="AE245" s="2">
        <v>257.17500000000001</v>
      </c>
      <c r="AF245" s="2">
        <v>88.899999999999991</v>
      </c>
      <c r="AG245" s="2"/>
    </row>
    <row r="246" spans="1:33" x14ac:dyDescent="0.25">
      <c r="A246" s="1" t="s">
        <v>246</v>
      </c>
      <c r="B246" s="1">
        <v>32.739606680000001</v>
      </c>
      <c r="C246" s="1">
        <v>4180.6368000000002</v>
      </c>
      <c r="D246" s="2">
        <v>312.42</v>
      </c>
      <c r="E246" s="2">
        <v>102.36199999999999</v>
      </c>
      <c r="F246" s="2">
        <v>6.6040000000000001</v>
      </c>
      <c r="G246" s="2">
        <v>10.795</v>
      </c>
      <c r="H246" s="2">
        <v>18.414999999999999</v>
      </c>
      <c r="I246" s="2">
        <v>15.875</v>
      </c>
      <c r="J246" s="2">
        <v>64932102.393599994</v>
      </c>
      <c r="K246" s="2">
        <v>480140.97519999999</v>
      </c>
      <c r="L246" s="2">
        <v>416231.42559999996</v>
      </c>
      <c r="M246" s="2">
        <v>124.714</v>
      </c>
      <c r="N246" s="2">
        <v>1939638.4432959999</v>
      </c>
      <c r="O246" s="1">
        <v>59976.654239999996</v>
      </c>
      <c r="P246" s="2">
        <v>37854.117839999999</v>
      </c>
      <c r="Q246" s="2">
        <v>21.539199999999997</v>
      </c>
      <c r="R246" s="1">
        <v>121955.80770079998</v>
      </c>
      <c r="S246" s="1">
        <v>44039882112.575745</v>
      </c>
      <c r="T246" s="1">
        <v>7741.92</v>
      </c>
      <c r="U246" s="2">
        <v>2131104.8990719998</v>
      </c>
      <c r="V246" s="2">
        <v>78002.424639999983</v>
      </c>
      <c r="W246" s="1">
        <v>14.4</v>
      </c>
      <c r="X246" s="2">
        <v>235973.72159999999</v>
      </c>
      <c r="Y246" s="2">
        <v>26.416</v>
      </c>
      <c r="Z246" s="2">
        <v>302.26</v>
      </c>
      <c r="AA246" s="2">
        <v>906.78</v>
      </c>
      <c r="AB246" s="2">
        <v>1008.38</v>
      </c>
      <c r="AC246" s="2">
        <v>726.43999999999994</v>
      </c>
      <c r="AD246" s="2">
        <v>830.58</v>
      </c>
      <c r="AE246" s="2">
        <v>263.52499999999998</v>
      </c>
      <c r="AF246" s="2">
        <v>57.15</v>
      </c>
      <c r="AG246" s="2"/>
    </row>
    <row r="247" spans="1:33" x14ac:dyDescent="0.25">
      <c r="A247" s="1" t="s">
        <v>247</v>
      </c>
      <c r="B247" s="1">
        <v>28.275114859999999</v>
      </c>
      <c r="C247" s="1">
        <v>3593.5412000000001</v>
      </c>
      <c r="D247" s="2">
        <v>309.87999999999994</v>
      </c>
      <c r="E247" s="2">
        <v>101.85399999999998</v>
      </c>
      <c r="F247" s="2">
        <v>5.9689999999999994</v>
      </c>
      <c r="G247" s="2">
        <v>8.8899999999999988</v>
      </c>
      <c r="H247" s="2">
        <v>16.509999999999998</v>
      </c>
      <c r="I247" s="2">
        <v>14.2875</v>
      </c>
      <c r="J247" s="2">
        <v>54110085.327999994</v>
      </c>
      <c r="K247" s="2">
        <v>404760.48079999996</v>
      </c>
      <c r="L247" s="2">
        <v>349044.4632</v>
      </c>
      <c r="M247" s="2">
        <v>122.428</v>
      </c>
      <c r="N247" s="2">
        <v>1565030.1602559998</v>
      </c>
      <c r="O247" s="1">
        <v>48833.450719999993</v>
      </c>
      <c r="P247" s="2">
        <v>30807.680319999996</v>
      </c>
      <c r="Q247" s="2">
        <v>20.878799999999998</v>
      </c>
      <c r="R247" s="1">
        <v>74921.65660799999</v>
      </c>
      <c r="S247" s="1">
        <v>35178198516.752571</v>
      </c>
      <c r="T247" s="1">
        <v>7677.4039999999995</v>
      </c>
      <c r="U247" s="2">
        <v>1735685.0447519999</v>
      </c>
      <c r="V247" s="2">
        <v>64073.420239999999</v>
      </c>
      <c r="W247" s="1">
        <v>12.2</v>
      </c>
      <c r="X247" s="2">
        <v>199922.18079999997</v>
      </c>
      <c r="Y247" s="2">
        <v>25.907999999999998</v>
      </c>
      <c r="Z247" s="2">
        <v>302.26</v>
      </c>
      <c r="AA247" s="2">
        <v>901.69999999999993</v>
      </c>
      <c r="AB247" s="2">
        <v>1003.3</v>
      </c>
      <c r="AC247" s="2">
        <v>721.3599999999999</v>
      </c>
      <c r="AD247" s="2">
        <v>822.95999999999992</v>
      </c>
      <c r="AE247" s="2">
        <v>263.52499999999998</v>
      </c>
      <c r="AF247" s="2">
        <v>57.15</v>
      </c>
      <c r="AG247" s="2"/>
    </row>
    <row r="248" spans="1:33" x14ac:dyDescent="0.25">
      <c r="A248" s="1" t="s">
        <v>248</v>
      </c>
      <c r="B248" s="1">
        <v>23.810623039999999</v>
      </c>
      <c r="C248" s="1">
        <v>3038.7035999999998</v>
      </c>
      <c r="D248" s="2">
        <v>304.79999999999995</v>
      </c>
      <c r="E248" s="2">
        <v>101.346</v>
      </c>
      <c r="F248" s="2">
        <v>5.5880000000000001</v>
      </c>
      <c r="G248" s="2">
        <v>6.7309999999999999</v>
      </c>
      <c r="H248" s="2">
        <v>14.350999999999997</v>
      </c>
      <c r="I248" s="2">
        <v>14.2875</v>
      </c>
      <c r="J248" s="2">
        <v>42871836.836799994</v>
      </c>
      <c r="K248" s="2">
        <v>329379.98639999999</v>
      </c>
      <c r="L248" s="2">
        <v>280218.79440000001</v>
      </c>
      <c r="M248" s="2">
        <v>118.61799999999999</v>
      </c>
      <c r="N248" s="2">
        <v>1173772.6201919997</v>
      </c>
      <c r="O248" s="1">
        <v>37034.764639999994</v>
      </c>
      <c r="P248" s="2">
        <v>23105.760239999996</v>
      </c>
      <c r="Q248" s="2">
        <v>19.6342</v>
      </c>
      <c r="R248" s="1">
        <v>42871.836836799994</v>
      </c>
      <c r="S248" s="1">
        <v>26021125467.735302</v>
      </c>
      <c r="T248" s="1">
        <v>7548.3719999999994</v>
      </c>
      <c r="U248" s="2">
        <v>1286155.1051039998</v>
      </c>
      <c r="V248" s="2">
        <v>48014.097519999996</v>
      </c>
      <c r="W248" s="1">
        <v>9.82</v>
      </c>
      <c r="X248" s="2">
        <v>160920.96847999998</v>
      </c>
      <c r="Y248" s="2">
        <v>24.9682</v>
      </c>
      <c r="Z248" s="2">
        <v>297.17999999999995</v>
      </c>
      <c r="AA248" s="2">
        <v>889</v>
      </c>
      <c r="AB248" s="2">
        <v>990.59999999999991</v>
      </c>
      <c r="AC248" s="2">
        <v>711.19999999999993</v>
      </c>
      <c r="AD248" s="2">
        <v>812.8</v>
      </c>
      <c r="AE248" s="2">
        <v>263.52499999999998</v>
      </c>
      <c r="AF248" s="2">
        <v>57.15</v>
      </c>
      <c r="AG248" s="2"/>
    </row>
    <row r="249" spans="1:33" x14ac:dyDescent="0.25">
      <c r="A249" s="1" t="s">
        <v>249</v>
      </c>
      <c r="B249" s="1">
        <v>20.83429516</v>
      </c>
      <c r="C249" s="1">
        <v>2683.8656000000001</v>
      </c>
      <c r="D249" s="2">
        <v>302.26</v>
      </c>
      <c r="E249" s="2">
        <v>100.83799999999999</v>
      </c>
      <c r="F249" s="2">
        <v>5.08</v>
      </c>
      <c r="G249" s="2">
        <v>5.7149999999999999</v>
      </c>
      <c r="H249" s="2">
        <v>13.334999999999999</v>
      </c>
      <c r="I249" s="2">
        <v>14.2875</v>
      </c>
      <c r="J249" s="2">
        <v>36878104.308159992</v>
      </c>
      <c r="K249" s="2">
        <v>285134.91359999997</v>
      </c>
      <c r="L249" s="2">
        <v>244167.2536</v>
      </c>
      <c r="M249" s="2">
        <v>117.348</v>
      </c>
      <c r="N249" s="2">
        <v>982306.1644159999</v>
      </c>
      <c r="O249" s="1">
        <v>31135.421599999994</v>
      </c>
      <c r="P249" s="2">
        <v>19500.606159999996</v>
      </c>
      <c r="Q249" s="2">
        <v>19.126200000000001</v>
      </c>
      <c r="R249" s="1">
        <v>29302.692362239999</v>
      </c>
      <c r="S249" s="1">
        <v>21590283669.823719</v>
      </c>
      <c r="T249" s="1">
        <v>7483.8559999999998</v>
      </c>
      <c r="U249" s="2">
        <v>1078039.3923039997</v>
      </c>
      <c r="V249" s="2">
        <v>40639.918719999994</v>
      </c>
      <c r="W249" s="1">
        <v>8.49</v>
      </c>
      <c r="X249" s="2">
        <v>139126.17335999999</v>
      </c>
      <c r="Y249" s="2">
        <v>24.409399999999998</v>
      </c>
      <c r="Z249" s="2">
        <v>297.17999999999995</v>
      </c>
      <c r="AA249" s="2">
        <v>883.91999999999985</v>
      </c>
      <c r="AB249" s="2">
        <v>985.51999999999987</v>
      </c>
      <c r="AC249" s="2">
        <v>706.12</v>
      </c>
      <c r="AD249" s="2">
        <v>805.18</v>
      </c>
      <c r="AE249" s="2">
        <v>263.52499999999998</v>
      </c>
      <c r="AF249" s="2">
        <v>57.15</v>
      </c>
      <c r="AG249" s="2"/>
    </row>
    <row r="250" spans="1:33" x14ac:dyDescent="0.25">
      <c r="A250" s="1" t="s">
        <v>250</v>
      </c>
      <c r="B250" s="1">
        <v>166.67436128</v>
      </c>
      <c r="C250" s="1">
        <v>21225.763999999999</v>
      </c>
      <c r="D250" s="2">
        <v>289.56</v>
      </c>
      <c r="E250" s="2">
        <v>264.15999999999997</v>
      </c>
      <c r="F250" s="2">
        <v>19.177</v>
      </c>
      <c r="G250" s="2">
        <v>31.75</v>
      </c>
      <c r="H250" s="2">
        <v>44.449999999999996</v>
      </c>
      <c r="I250" s="2">
        <v>25.4</v>
      </c>
      <c r="J250" s="2">
        <v>298021700.72959995</v>
      </c>
      <c r="K250" s="2">
        <v>2408898.4079999998</v>
      </c>
      <c r="L250" s="2">
        <v>2064770.0639999998</v>
      </c>
      <c r="M250" s="2">
        <v>118.36399999999999</v>
      </c>
      <c r="N250" s="2">
        <v>98230616.441599995</v>
      </c>
      <c r="O250" s="1">
        <v>1133984.8288</v>
      </c>
      <c r="P250" s="2">
        <v>742333.99919999985</v>
      </c>
      <c r="Q250" s="2">
        <v>68.072000000000003</v>
      </c>
      <c r="R250" s="1">
        <v>6285094.5265599992</v>
      </c>
      <c r="S250" s="1">
        <v>1616585916571.3779</v>
      </c>
      <c r="T250" s="1">
        <v>17032.223999999998</v>
      </c>
      <c r="U250" s="2">
        <v>35712656.316479996</v>
      </c>
      <c r="V250" s="2">
        <v>501444.15839999996</v>
      </c>
      <c r="W250" s="1">
        <v>73.5</v>
      </c>
      <c r="X250" s="2">
        <v>1204449.2039999999</v>
      </c>
      <c r="Y250" s="2">
        <v>78.231999999999999</v>
      </c>
      <c r="Z250" s="2">
        <v>259.08</v>
      </c>
      <c r="AA250" s="2">
        <v>1310.6399999999999</v>
      </c>
      <c r="AB250" s="2">
        <v>1574.8</v>
      </c>
      <c r="AC250" s="2">
        <v>843.28</v>
      </c>
      <c r="AD250" s="2">
        <v>1107.44</v>
      </c>
      <c r="AE250" s="2">
        <v>190.5</v>
      </c>
      <c r="AF250" s="2">
        <v>139.69999999999999</v>
      </c>
      <c r="AG250" s="2"/>
    </row>
    <row r="251" spans="1:33" x14ac:dyDescent="0.25">
      <c r="A251" s="1" t="s">
        <v>251</v>
      </c>
      <c r="B251" s="1">
        <v>148.816394</v>
      </c>
      <c r="C251" s="1">
        <v>18903.187999999998</v>
      </c>
      <c r="D251" s="2">
        <v>281.94</v>
      </c>
      <c r="E251" s="2">
        <v>261.62</v>
      </c>
      <c r="F251" s="2">
        <v>17.272000000000002</v>
      </c>
      <c r="G251" s="2">
        <v>28.448</v>
      </c>
      <c r="H251" s="2">
        <v>41.148000000000003</v>
      </c>
      <c r="I251" s="2">
        <v>25.4</v>
      </c>
      <c r="J251" s="2">
        <v>259312178.14879999</v>
      </c>
      <c r="K251" s="2">
        <v>2130318.3199999998</v>
      </c>
      <c r="L251" s="2">
        <v>1835351.1679999998</v>
      </c>
      <c r="M251" s="2">
        <v>116.83999999999999</v>
      </c>
      <c r="N251" s="2">
        <v>86159905.099199995</v>
      </c>
      <c r="O251" s="1">
        <v>999610.90399999986</v>
      </c>
      <c r="P251" s="2">
        <v>655482.55999999994</v>
      </c>
      <c r="Q251" s="2">
        <v>67.309999999999988</v>
      </c>
      <c r="R251" s="1">
        <v>4536922.5390399992</v>
      </c>
      <c r="S251" s="1">
        <v>1382959712681.4944</v>
      </c>
      <c r="T251" s="1">
        <v>16580.611999999997</v>
      </c>
      <c r="U251" s="2">
        <v>30842748.636959996</v>
      </c>
      <c r="V251" s="2">
        <v>440812.02159999992</v>
      </c>
      <c r="W251" s="1">
        <v>64.2</v>
      </c>
      <c r="X251" s="2">
        <v>1052049.5088</v>
      </c>
      <c r="Y251" s="2">
        <v>77.215999999999994</v>
      </c>
      <c r="Z251" s="2">
        <v>254</v>
      </c>
      <c r="AA251" s="2">
        <v>1292.8599999999999</v>
      </c>
      <c r="AB251" s="2">
        <v>1554.48</v>
      </c>
      <c r="AC251" s="2">
        <v>825.5</v>
      </c>
      <c r="AD251" s="2">
        <v>1087.1199999999999</v>
      </c>
      <c r="AE251" s="2">
        <v>190.5</v>
      </c>
      <c r="AF251" s="2">
        <v>139.69999999999999</v>
      </c>
      <c r="AG251" s="2"/>
    </row>
    <row r="252" spans="1:33" x14ac:dyDescent="0.25">
      <c r="A252" s="1" t="s">
        <v>252</v>
      </c>
      <c r="B252" s="1">
        <v>130.95842672000001</v>
      </c>
      <c r="C252" s="1">
        <v>16774.16</v>
      </c>
      <c r="D252" s="2">
        <v>274.32</v>
      </c>
      <c r="E252" s="2">
        <v>261.62</v>
      </c>
      <c r="F252" s="2">
        <v>15.366999999999999</v>
      </c>
      <c r="G252" s="2">
        <v>25.145999999999997</v>
      </c>
      <c r="H252" s="2">
        <v>37.845999999999997</v>
      </c>
      <c r="I252" s="2">
        <v>23.8125</v>
      </c>
      <c r="J252" s="2">
        <v>222267581.27039999</v>
      </c>
      <c r="K252" s="2">
        <v>1851738.2319999998</v>
      </c>
      <c r="L252" s="2">
        <v>1614125.8039999998</v>
      </c>
      <c r="M252" s="2">
        <v>115.31599999999999</v>
      </c>
      <c r="N252" s="2">
        <v>74505425.182399988</v>
      </c>
      <c r="O252" s="1">
        <v>870153.0983999999</v>
      </c>
      <c r="P252" s="2">
        <v>570269.82719999994</v>
      </c>
      <c r="Q252" s="2">
        <v>66.801999999999992</v>
      </c>
      <c r="R252" s="1">
        <v>3134222.6347679999</v>
      </c>
      <c r="S252" s="1">
        <v>1162760302118.6157</v>
      </c>
      <c r="T252" s="1">
        <v>16322.547999999999</v>
      </c>
      <c r="U252" s="2">
        <v>26805303.808639999</v>
      </c>
      <c r="V252" s="2">
        <v>385096.00399999996</v>
      </c>
      <c r="W252" s="1">
        <v>55.9</v>
      </c>
      <c r="X252" s="2">
        <v>916036.87759999989</v>
      </c>
      <c r="Y252" s="2">
        <v>75.945999999999998</v>
      </c>
      <c r="Z252" s="2">
        <v>249.17400000000001</v>
      </c>
      <c r="AA252" s="2">
        <v>1280.1599999999999</v>
      </c>
      <c r="AB252" s="2">
        <v>1541.78</v>
      </c>
      <c r="AC252" s="2">
        <v>810.25999999999988</v>
      </c>
      <c r="AD252" s="2">
        <v>1071.8800000000001</v>
      </c>
      <c r="AE252" s="2">
        <v>190.5</v>
      </c>
      <c r="AF252" s="2">
        <v>139.69999999999999</v>
      </c>
      <c r="AG252" s="2"/>
    </row>
    <row r="253" spans="1:33" x14ac:dyDescent="0.25">
      <c r="A253" s="1" t="s">
        <v>253</v>
      </c>
      <c r="B253" s="1">
        <v>114.58862338</v>
      </c>
      <c r="C253" s="1">
        <v>14645.132</v>
      </c>
      <c r="D253" s="2">
        <v>269.23999999999995</v>
      </c>
      <c r="E253" s="2">
        <v>259.08</v>
      </c>
      <c r="F253" s="2">
        <v>13.462</v>
      </c>
      <c r="G253" s="2">
        <v>22.097999999999999</v>
      </c>
      <c r="H253" s="2">
        <v>34.798000000000002</v>
      </c>
      <c r="I253" s="2">
        <v>22.224999999999998</v>
      </c>
      <c r="J253" s="2">
        <v>189385298.64799997</v>
      </c>
      <c r="K253" s="2">
        <v>1599377.4463999998</v>
      </c>
      <c r="L253" s="2">
        <v>1407648.7975999999</v>
      </c>
      <c r="M253" s="2">
        <v>114.04599999999999</v>
      </c>
      <c r="N253" s="2">
        <v>64099639.542399995</v>
      </c>
      <c r="O253" s="1">
        <v>752166.23759999988</v>
      </c>
      <c r="P253" s="2">
        <v>493250.62639999995</v>
      </c>
      <c r="Q253" s="2">
        <v>66.039999999999992</v>
      </c>
      <c r="R253" s="1">
        <v>2126942.584816</v>
      </c>
      <c r="S253" s="1">
        <v>974785195540.54846</v>
      </c>
      <c r="T253" s="1">
        <v>15999.967999999999</v>
      </c>
      <c r="U253" s="2">
        <v>22892728.407999996</v>
      </c>
      <c r="V253" s="2">
        <v>335934.81199999998</v>
      </c>
      <c r="W253" s="1">
        <v>48.4</v>
      </c>
      <c r="X253" s="2">
        <v>793133.89759999991</v>
      </c>
      <c r="Y253" s="2">
        <v>74.930000000000007</v>
      </c>
      <c r="Z253" s="2">
        <v>247.142</v>
      </c>
      <c r="AA253" s="2">
        <v>1267.4599999999998</v>
      </c>
      <c r="AB253" s="2">
        <v>1526.54</v>
      </c>
      <c r="AC253" s="2">
        <v>797.56</v>
      </c>
      <c r="AD253" s="2">
        <v>1056.6399999999999</v>
      </c>
      <c r="AE253" s="2">
        <v>190.5</v>
      </c>
      <c r="AF253" s="2">
        <v>139.69999999999999</v>
      </c>
      <c r="AG253" s="2"/>
    </row>
    <row r="254" spans="1:33" x14ac:dyDescent="0.25">
      <c r="A254" s="1" t="s">
        <v>254</v>
      </c>
      <c r="B254" s="1">
        <v>101.19514792</v>
      </c>
      <c r="C254" s="1">
        <v>12838.683999999999</v>
      </c>
      <c r="D254" s="2">
        <v>264.15999999999997</v>
      </c>
      <c r="E254" s="2">
        <v>256.53999999999996</v>
      </c>
      <c r="F254" s="2">
        <v>11.937999999999999</v>
      </c>
      <c r="G254" s="2">
        <v>19.558</v>
      </c>
      <c r="H254" s="2">
        <v>32.257999999999996</v>
      </c>
      <c r="I254" s="2">
        <v>22.224999999999998</v>
      </c>
      <c r="J254" s="2">
        <v>163995181.6864</v>
      </c>
      <c r="K254" s="2">
        <v>1397816.5591999998</v>
      </c>
      <c r="L254" s="2">
        <v>1240500.7448</v>
      </c>
      <c r="M254" s="2">
        <v>112.77600000000001</v>
      </c>
      <c r="N254" s="2">
        <v>55775011.030399993</v>
      </c>
      <c r="O254" s="1">
        <v>657121.26639999996</v>
      </c>
      <c r="P254" s="2">
        <v>432618.48959999991</v>
      </c>
      <c r="Q254" s="2">
        <v>65.785999999999987</v>
      </c>
      <c r="R254" s="1">
        <v>1481783.8751359999</v>
      </c>
      <c r="S254" s="1">
        <v>832461186274.29761</v>
      </c>
      <c r="T254" s="1">
        <v>15677.387999999999</v>
      </c>
      <c r="U254" s="2">
        <v>19687746.430879995</v>
      </c>
      <c r="V254" s="2">
        <v>293328.44559999998</v>
      </c>
      <c r="W254" s="1">
        <v>42.1</v>
      </c>
      <c r="X254" s="2">
        <v>689895.39439999999</v>
      </c>
      <c r="Y254" s="2">
        <v>74.167999999999992</v>
      </c>
      <c r="Z254" s="2">
        <v>244.602</v>
      </c>
      <c r="AA254" s="2">
        <v>1252.2199999999998</v>
      </c>
      <c r="AB254" s="2">
        <v>1508.76</v>
      </c>
      <c r="AC254" s="2">
        <v>784.8599999999999</v>
      </c>
      <c r="AD254" s="2">
        <v>1041.3999999999999</v>
      </c>
      <c r="AE254" s="2">
        <v>190.5</v>
      </c>
      <c r="AF254" s="2">
        <v>139.69999999999999</v>
      </c>
      <c r="AG254" s="2"/>
    </row>
    <row r="255" spans="1:33" x14ac:dyDescent="0.25">
      <c r="A255" s="1" t="s">
        <v>255</v>
      </c>
      <c r="B255" s="1">
        <v>89.289836399999999</v>
      </c>
      <c r="C255" s="1">
        <v>11419.331999999999</v>
      </c>
      <c r="D255" s="2">
        <v>259.08</v>
      </c>
      <c r="E255" s="2">
        <v>256.53999999999996</v>
      </c>
      <c r="F255" s="2">
        <v>10.667999999999999</v>
      </c>
      <c r="G255" s="2">
        <v>17.272000000000002</v>
      </c>
      <c r="H255" s="2">
        <v>29.971999999999998</v>
      </c>
      <c r="I255" s="2">
        <v>20.637499999999999</v>
      </c>
      <c r="J255" s="2">
        <v>141934916.12959999</v>
      </c>
      <c r="K255" s="2">
        <v>1222474.9743999997</v>
      </c>
      <c r="L255" s="2">
        <v>1093017.1687999999</v>
      </c>
      <c r="M255" s="2">
        <v>111.50599999999999</v>
      </c>
      <c r="N255" s="2">
        <v>48282845.369599998</v>
      </c>
      <c r="O255" s="1">
        <v>573547.24</v>
      </c>
      <c r="P255" s="2">
        <v>376902.47199999995</v>
      </c>
      <c r="Q255" s="2">
        <v>65.277999999999992</v>
      </c>
      <c r="R255" s="1">
        <v>1032253.9354879999</v>
      </c>
      <c r="S255" s="1">
        <v>708934687665.85339</v>
      </c>
      <c r="T255" s="1">
        <v>15483.84</v>
      </c>
      <c r="U255" s="2">
        <v>17190357.877279997</v>
      </c>
      <c r="V255" s="2">
        <v>257276.90479999996</v>
      </c>
      <c r="W255" s="1">
        <v>36.799999999999997</v>
      </c>
      <c r="X255" s="2">
        <v>603043.95519999985</v>
      </c>
      <c r="Y255" s="2">
        <v>73.151999999999987</v>
      </c>
      <c r="Z255" s="2">
        <v>241.80799999999996</v>
      </c>
      <c r="AA255" s="2">
        <v>1244.5999999999999</v>
      </c>
      <c r="AB255" s="2">
        <v>1501.1399999999999</v>
      </c>
      <c r="AC255" s="2">
        <v>774.69999999999993</v>
      </c>
      <c r="AD255" s="2">
        <v>1031.24</v>
      </c>
      <c r="AE255" s="2">
        <v>190.5</v>
      </c>
      <c r="AF255" s="2">
        <v>139.69999999999999</v>
      </c>
      <c r="AG255" s="2"/>
    </row>
    <row r="256" spans="1:33" x14ac:dyDescent="0.25">
      <c r="A256" s="1" t="s">
        <v>256</v>
      </c>
      <c r="B256" s="1">
        <v>80.36085276</v>
      </c>
      <c r="C256" s="1">
        <v>10193.528</v>
      </c>
      <c r="D256" s="2">
        <v>256.53999999999996</v>
      </c>
      <c r="E256" s="2">
        <v>254</v>
      </c>
      <c r="F256" s="2">
        <v>9.3979999999999997</v>
      </c>
      <c r="G256" s="2">
        <v>15.620999999999999</v>
      </c>
      <c r="H256" s="2">
        <v>28.448</v>
      </c>
      <c r="I256" s="2">
        <v>20.637499999999999</v>
      </c>
      <c r="J256" s="2">
        <v>126118121.95679998</v>
      </c>
      <c r="K256" s="2">
        <v>1091378.4623999998</v>
      </c>
      <c r="L256" s="2">
        <v>983223.83999999985</v>
      </c>
      <c r="M256" s="2">
        <v>110.99799999999999</v>
      </c>
      <c r="N256" s="2">
        <v>42871836.836799994</v>
      </c>
      <c r="O256" s="1">
        <v>512915.10319999995</v>
      </c>
      <c r="P256" s="2">
        <v>337573.5184</v>
      </c>
      <c r="Q256" s="2">
        <v>65.024000000000001</v>
      </c>
      <c r="R256" s="1">
        <v>757541.19459199999</v>
      </c>
      <c r="S256" s="1">
        <v>623003210373.02271</v>
      </c>
      <c r="T256" s="1">
        <v>15290.291999999999</v>
      </c>
      <c r="U256" s="2">
        <v>15192447.034399999</v>
      </c>
      <c r="V256" s="2">
        <v>229418.89599999998</v>
      </c>
      <c r="W256" s="1">
        <v>32.799999999999997</v>
      </c>
      <c r="X256" s="2">
        <v>537495.69919999992</v>
      </c>
      <c r="Y256" s="2">
        <v>72.39</v>
      </c>
      <c r="Z256" s="2">
        <v>241.04599999999999</v>
      </c>
      <c r="AA256" s="2">
        <v>1234.44</v>
      </c>
      <c r="AB256" s="2">
        <v>1488.44</v>
      </c>
      <c r="AC256" s="2">
        <v>767.07999999999993</v>
      </c>
      <c r="AD256" s="2">
        <v>1021.08</v>
      </c>
      <c r="AE256" s="2">
        <v>190.5</v>
      </c>
      <c r="AF256" s="2">
        <v>139.69999999999999</v>
      </c>
      <c r="AG256" s="2"/>
    </row>
    <row r="257" spans="1:33" x14ac:dyDescent="0.25">
      <c r="A257" s="1" t="s">
        <v>257</v>
      </c>
      <c r="B257" s="1">
        <v>72.920033059999994</v>
      </c>
      <c r="C257" s="1">
        <v>9290.3040000000001</v>
      </c>
      <c r="D257" s="2">
        <v>254</v>
      </c>
      <c r="E257" s="2">
        <v>254</v>
      </c>
      <c r="F257" s="2">
        <v>8.636000000000001</v>
      </c>
      <c r="G257" s="2">
        <v>14.224</v>
      </c>
      <c r="H257" s="2">
        <v>26.923999999999999</v>
      </c>
      <c r="I257" s="2">
        <v>20.637499999999999</v>
      </c>
      <c r="J257" s="2">
        <v>113214947.76319999</v>
      </c>
      <c r="K257" s="2">
        <v>989778.66559999983</v>
      </c>
      <c r="L257" s="2">
        <v>894733.69439999992</v>
      </c>
      <c r="M257" s="2">
        <v>110.48999999999998</v>
      </c>
      <c r="N257" s="2">
        <v>38876015.151039995</v>
      </c>
      <c r="O257" s="1">
        <v>463753.91119999997</v>
      </c>
      <c r="P257" s="2">
        <v>306438.09679999994</v>
      </c>
      <c r="Q257" s="2">
        <v>64.515999999999991</v>
      </c>
      <c r="R257" s="1">
        <v>578561.68158399989</v>
      </c>
      <c r="S257" s="1">
        <v>555869243737.99866</v>
      </c>
      <c r="T257" s="1">
        <v>15225.776</v>
      </c>
      <c r="U257" s="2">
        <v>13735637.044799998</v>
      </c>
      <c r="V257" s="2">
        <v>209754.4192</v>
      </c>
      <c r="W257" s="1">
        <v>29.8</v>
      </c>
      <c r="X257" s="2">
        <v>488334.50719999999</v>
      </c>
      <c r="Y257" s="2">
        <v>72.135999999999996</v>
      </c>
      <c r="Z257" s="2">
        <v>239.77599999999998</v>
      </c>
      <c r="AA257" s="2">
        <v>1231.8999999999999</v>
      </c>
      <c r="AB257" s="2">
        <v>1485.8999999999999</v>
      </c>
      <c r="AC257" s="2">
        <v>762</v>
      </c>
      <c r="AD257" s="2">
        <v>1016</v>
      </c>
      <c r="AE257" s="2">
        <v>190.5</v>
      </c>
      <c r="AF257" s="2">
        <v>139.69999999999999</v>
      </c>
      <c r="AG257" s="2"/>
    </row>
    <row r="258" spans="1:33" x14ac:dyDescent="0.25">
      <c r="A258" s="1" t="s">
        <v>258</v>
      </c>
      <c r="B258" s="1">
        <v>66.967377299999995</v>
      </c>
      <c r="C258" s="1">
        <v>8580.6280000000006</v>
      </c>
      <c r="D258" s="2">
        <v>256.53999999999996</v>
      </c>
      <c r="E258" s="2">
        <v>203.70799999999997</v>
      </c>
      <c r="F258" s="2">
        <v>8.8899999999999988</v>
      </c>
      <c r="G258" s="2">
        <v>15.747999999999999</v>
      </c>
      <c r="H258" s="2">
        <v>28.448</v>
      </c>
      <c r="I258" s="2">
        <v>20.637499999999999</v>
      </c>
      <c r="J258" s="2">
        <v>103225393.54879999</v>
      </c>
      <c r="K258" s="2">
        <v>899649.81359999988</v>
      </c>
      <c r="L258" s="2">
        <v>804604.84239999996</v>
      </c>
      <c r="M258" s="2">
        <v>109.72799999999999</v>
      </c>
      <c r="N258" s="2">
        <v>22226758.127039999</v>
      </c>
      <c r="O258" s="1">
        <v>332657.39919999999</v>
      </c>
      <c r="P258" s="2">
        <v>217947.95119999998</v>
      </c>
      <c r="Q258" s="2">
        <v>51.053999999999995</v>
      </c>
      <c r="R258" s="1">
        <v>628509.45265599992</v>
      </c>
      <c r="S258" s="1">
        <v>322243039848.11517</v>
      </c>
      <c r="T258" s="1">
        <v>12258.039999999999</v>
      </c>
      <c r="U258" s="2">
        <v>9823061.6441599987</v>
      </c>
      <c r="V258" s="2">
        <v>185173.82319999998</v>
      </c>
      <c r="W258" s="1">
        <v>27</v>
      </c>
      <c r="X258" s="2">
        <v>442450.72799999994</v>
      </c>
      <c r="Y258" s="2">
        <v>57.657999999999994</v>
      </c>
      <c r="Z258" s="2">
        <v>240.792</v>
      </c>
      <c r="AA258" s="2">
        <v>1084.58</v>
      </c>
      <c r="AB258" s="2">
        <v>1287.78</v>
      </c>
      <c r="AC258" s="2">
        <v>716.28</v>
      </c>
      <c r="AD258" s="2">
        <v>919.48</v>
      </c>
      <c r="AE258" s="2">
        <v>190.5</v>
      </c>
      <c r="AF258" s="2">
        <v>139.69999999999999</v>
      </c>
      <c r="AG258" s="2"/>
    </row>
    <row r="259" spans="1:33" x14ac:dyDescent="0.25">
      <c r="A259" s="1" t="s">
        <v>259</v>
      </c>
      <c r="B259" s="1">
        <v>58.038393659999997</v>
      </c>
      <c r="C259" s="1">
        <v>7419.3399999999992</v>
      </c>
      <c r="D259" s="2">
        <v>251.96799999999999</v>
      </c>
      <c r="E259" s="2">
        <v>202.946</v>
      </c>
      <c r="F259" s="2">
        <v>8.0009999999999994</v>
      </c>
      <c r="G259" s="2">
        <v>13.462</v>
      </c>
      <c r="H259" s="2">
        <v>26.161999999999999</v>
      </c>
      <c r="I259" s="2">
        <v>20.637499999999999</v>
      </c>
      <c r="J259" s="2">
        <v>86992367.950399995</v>
      </c>
      <c r="K259" s="2">
        <v>766914.59519999987</v>
      </c>
      <c r="L259" s="2">
        <v>689895.39439999999</v>
      </c>
      <c r="M259" s="2">
        <v>108.45799999999998</v>
      </c>
      <c r="N259" s="2">
        <v>18730414.151999999</v>
      </c>
      <c r="O259" s="1">
        <v>281857.50079999998</v>
      </c>
      <c r="P259" s="2">
        <v>185173.82319999998</v>
      </c>
      <c r="Q259" s="2">
        <v>50.291999999999994</v>
      </c>
      <c r="R259" s="1">
        <v>406241.87138559995</v>
      </c>
      <c r="S259" s="1">
        <v>266387579607.77521</v>
      </c>
      <c r="T259" s="1">
        <v>12129.008</v>
      </c>
      <c r="U259" s="2">
        <v>8283005.3694399986</v>
      </c>
      <c r="V259" s="2">
        <v>156496.46119999999</v>
      </c>
      <c r="W259" s="1">
        <v>23</v>
      </c>
      <c r="X259" s="2">
        <v>376902.47199999995</v>
      </c>
      <c r="Y259" s="2">
        <v>56.896000000000001</v>
      </c>
      <c r="Z259" s="2">
        <v>238.506</v>
      </c>
      <c r="AA259" s="2">
        <v>1074.4199999999998</v>
      </c>
      <c r="AB259" s="2">
        <v>1277.6199999999999</v>
      </c>
      <c r="AC259" s="2">
        <v>706.12</v>
      </c>
      <c r="AD259" s="2">
        <v>909.31999999999982</v>
      </c>
      <c r="AE259" s="2">
        <v>190.5</v>
      </c>
      <c r="AF259" s="2">
        <v>139.69999999999999</v>
      </c>
      <c r="AG259" s="2"/>
    </row>
    <row r="260" spans="1:33" x14ac:dyDescent="0.25">
      <c r="A260" s="1" t="s">
        <v>260</v>
      </c>
      <c r="B260" s="1">
        <v>49.109410019999999</v>
      </c>
      <c r="C260" s="1">
        <v>6264.5036</v>
      </c>
      <c r="D260" s="2">
        <v>247.142</v>
      </c>
      <c r="E260" s="2">
        <v>202.184</v>
      </c>
      <c r="F260" s="2">
        <v>7.3659999999999988</v>
      </c>
      <c r="G260" s="2">
        <v>11.048999999999999</v>
      </c>
      <c r="H260" s="2">
        <v>23.748999999999999</v>
      </c>
      <c r="I260" s="2">
        <v>19.049999999999997</v>
      </c>
      <c r="J260" s="2">
        <v>71175573.77759999</v>
      </c>
      <c r="K260" s="2">
        <v>635818.08319999988</v>
      </c>
      <c r="L260" s="2">
        <v>573547.24</v>
      </c>
      <c r="M260" s="2">
        <v>106.426</v>
      </c>
      <c r="N260" s="2">
        <v>15234070.176959999</v>
      </c>
      <c r="O260" s="1">
        <v>229418.89599999998</v>
      </c>
      <c r="P260" s="2">
        <v>150760.98879999996</v>
      </c>
      <c r="Q260" s="2">
        <v>49.275999999999996</v>
      </c>
      <c r="R260" s="1">
        <v>242662.92112479996</v>
      </c>
      <c r="S260" s="1">
        <v>212411870433.21591</v>
      </c>
      <c r="T260" s="1">
        <v>11935.46</v>
      </c>
      <c r="U260" s="2">
        <v>6659702.8095999993</v>
      </c>
      <c r="V260" s="2">
        <v>126999.74599999998</v>
      </c>
      <c r="W260" s="1">
        <v>18.899999999999999</v>
      </c>
      <c r="X260" s="2">
        <v>309715.50959999993</v>
      </c>
      <c r="Y260" s="2">
        <v>55.88</v>
      </c>
      <c r="Z260" s="2">
        <v>236.22</v>
      </c>
      <c r="AA260" s="2">
        <v>1064.26</v>
      </c>
      <c r="AB260" s="2">
        <v>1267.4599999999998</v>
      </c>
      <c r="AC260" s="2">
        <v>695.95999999999992</v>
      </c>
      <c r="AD260" s="2">
        <v>899.16</v>
      </c>
      <c r="AE260" s="2">
        <v>190.5</v>
      </c>
      <c r="AF260" s="2">
        <v>139.69999999999999</v>
      </c>
      <c r="AG260" s="2"/>
    </row>
    <row r="261" spans="1:33" x14ac:dyDescent="0.25">
      <c r="A261" s="1" t="s">
        <v>261</v>
      </c>
      <c r="B261" s="1">
        <v>44.644918199999999</v>
      </c>
      <c r="C261" s="1">
        <v>5703.2143999999998</v>
      </c>
      <c r="D261" s="2">
        <v>266.7</v>
      </c>
      <c r="E261" s="2">
        <v>147.57399999999998</v>
      </c>
      <c r="F261" s="2">
        <v>7.6199999999999992</v>
      </c>
      <c r="G261" s="2">
        <v>12.953999999999999</v>
      </c>
      <c r="H261" s="2">
        <v>20.574000000000002</v>
      </c>
      <c r="I261" s="2">
        <v>17.462499999999999</v>
      </c>
      <c r="J261" s="2">
        <v>70759342.351999998</v>
      </c>
      <c r="K261" s="2">
        <v>599766.54239999992</v>
      </c>
      <c r="L261" s="2">
        <v>530940.87359999993</v>
      </c>
      <c r="M261" s="2">
        <v>111.252</v>
      </c>
      <c r="N261" s="2">
        <v>6951064.8075199993</v>
      </c>
      <c r="O261" s="1">
        <v>144861.64575999998</v>
      </c>
      <c r="P261" s="2">
        <v>94225.617999999988</v>
      </c>
      <c r="Q261" s="2">
        <v>34.798000000000002</v>
      </c>
      <c r="R261" s="1">
        <v>258895.94672319997</v>
      </c>
      <c r="S261" s="1">
        <v>111173848747.59973</v>
      </c>
      <c r="T261" s="1">
        <v>9354.82</v>
      </c>
      <c r="U261" s="2">
        <v>4453676.2539199991</v>
      </c>
      <c r="V261" s="2">
        <v>115037.18927999998</v>
      </c>
      <c r="W261" s="1">
        <v>18.2</v>
      </c>
      <c r="X261" s="2">
        <v>298244.56479999993</v>
      </c>
      <c r="Y261" s="2">
        <v>40.64</v>
      </c>
      <c r="Z261" s="2">
        <v>253.74599999999998</v>
      </c>
      <c r="AA261" s="2">
        <v>947.41999999999985</v>
      </c>
      <c r="AB261" s="2">
        <v>1094.74</v>
      </c>
      <c r="AC261" s="2">
        <v>680.72</v>
      </c>
      <c r="AD261" s="2">
        <v>828.04</v>
      </c>
      <c r="AE261" s="2">
        <v>209.54999999999998</v>
      </c>
      <c r="AF261" s="2">
        <v>69.849999999999994</v>
      </c>
      <c r="AG261" s="2"/>
    </row>
    <row r="262" spans="1:33" x14ac:dyDescent="0.25">
      <c r="A262" s="1" t="s">
        <v>262</v>
      </c>
      <c r="B262" s="1">
        <v>38.69226244</v>
      </c>
      <c r="C262" s="1">
        <v>4909.6675999999998</v>
      </c>
      <c r="D262" s="2">
        <v>261.62</v>
      </c>
      <c r="E262" s="2">
        <v>146.55799999999999</v>
      </c>
      <c r="F262" s="2">
        <v>6.6040000000000001</v>
      </c>
      <c r="G262" s="2">
        <v>11.176</v>
      </c>
      <c r="H262" s="2">
        <v>18.795999999999999</v>
      </c>
      <c r="I262" s="2">
        <v>17.462499999999999</v>
      </c>
      <c r="J262" s="2">
        <v>59937325.28639999</v>
      </c>
      <c r="K262" s="2">
        <v>512915.10319999995</v>
      </c>
      <c r="L262" s="2">
        <v>457199.08559999993</v>
      </c>
      <c r="M262" s="2">
        <v>110.48999999999998</v>
      </c>
      <c r="N262" s="2">
        <v>5868863.1009599995</v>
      </c>
      <c r="O262" s="1">
        <v>122902.97999999998</v>
      </c>
      <c r="P262" s="2">
        <v>80132.742959999989</v>
      </c>
      <c r="Q262" s="2">
        <v>34.544000000000004</v>
      </c>
      <c r="R262" s="1">
        <v>167325.03309119999</v>
      </c>
      <c r="S262" s="1">
        <v>92644873956.333115</v>
      </c>
      <c r="T262" s="1">
        <v>9161.271999999999</v>
      </c>
      <c r="U262" s="2">
        <v>3758569.7731679995</v>
      </c>
      <c r="V262" s="2">
        <v>97994.642720000003</v>
      </c>
      <c r="W262" s="1">
        <v>15.4</v>
      </c>
      <c r="X262" s="2">
        <v>252360.78559999997</v>
      </c>
      <c r="Y262" s="2">
        <v>40.131999999999998</v>
      </c>
      <c r="Z262" s="2">
        <v>250.44399999999996</v>
      </c>
      <c r="AA262" s="2">
        <v>934.71999999999991</v>
      </c>
      <c r="AB262" s="2">
        <v>1082.04</v>
      </c>
      <c r="AC262" s="2">
        <v>670.56</v>
      </c>
      <c r="AD262" s="2">
        <v>815.34</v>
      </c>
      <c r="AE262" s="2">
        <v>209.54999999999998</v>
      </c>
      <c r="AF262" s="2">
        <v>69.849999999999994</v>
      </c>
      <c r="AG262" s="2"/>
    </row>
    <row r="263" spans="1:33" x14ac:dyDescent="0.25">
      <c r="A263" s="1" t="s">
        <v>263</v>
      </c>
      <c r="B263" s="1">
        <v>32.739606680000001</v>
      </c>
      <c r="C263" s="1">
        <v>4187.0883999999996</v>
      </c>
      <c r="D263" s="2">
        <v>259.08</v>
      </c>
      <c r="E263" s="2">
        <v>146.04999999999998</v>
      </c>
      <c r="F263" s="2">
        <v>6.0959999999999992</v>
      </c>
      <c r="G263" s="2">
        <v>9.1439999999999984</v>
      </c>
      <c r="H263" s="2">
        <v>16.763999999999999</v>
      </c>
      <c r="I263" s="2">
        <v>15.875</v>
      </c>
      <c r="J263" s="2">
        <v>49115308.220799997</v>
      </c>
      <c r="K263" s="2">
        <v>426063.66399999999</v>
      </c>
      <c r="L263" s="2">
        <v>380179.88479999994</v>
      </c>
      <c r="M263" s="2">
        <v>108.45799999999998</v>
      </c>
      <c r="N263" s="2">
        <v>4745038.25184</v>
      </c>
      <c r="O263" s="1">
        <v>99961.090399999986</v>
      </c>
      <c r="P263" s="2">
        <v>65056.644079999998</v>
      </c>
      <c r="Q263" s="2">
        <v>33.781999999999996</v>
      </c>
      <c r="R263" s="1">
        <v>99479.310718399982</v>
      </c>
      <c r="S263" s="1">
        <v>73847363298.526398</v>
      </c>
      <c r="T263" s="1">
        <v>9096.7559999999994</v>
      </c>
      <c r="U263" s="2">
        <v>3046814.0353919999</v>
      </c>
      <c r="V263" s="2">
        <v>79968.872319999995</v>
      </c>
      <c r="W263" s="1">
        <v>12.9</v>
      </c>
      <c r="X263" s="2">
        <v>211393.1256</v>
      </c>
      <c r="Y263" s="2">
        <v>39.369999999999997</v>
      </c>
      <c r="Z263" s="2">
        <v>249.93599999999998</v>
      </c>
      <c r="AA263" s="2">
        <v>929.64</v>
      </c>
      <c r="AB263" s="2">
        <v>1076.9599999999998</v>
      </c>
      <c r="AC263" s="2">
        <v>665.4799999999999</v>
      </c>
      <c r="AD263" s="2">
        <v>810.25999999999988</v>
      </c>
      <c r="AE263" s="2">
        <v>209.54999999999998</v>
      </c>
      <c r="AF263" s="2">
        <v>69.849999999999994</v>
      </c>
      <c r="AG263" s="2"/>
    </row>
    <row r="264" spans="1:33" x14ac:dyDescent="0.25">
      <c r="A264" s="1" t="s">
        <v>264</v>
      </c>
      <c r="B264" s="1">
        <v>28.275114859999999</v>
      </c>
      <c r="C264" s="1">
        <v>3625.7991999999999</v>
      </c>
      <c r="D264" s="2">
        <v>259.08</v>
      </c>
      <c r="E264" s="2">
        <v>102.10799999999999</v>
      </c>
      <c r="F264" s="2">
        <v>6.35</v>
      </c>
      <c r="G264" s="2">
        <v>10.032999999999999</v>
      </c>
      <c r="H264" s="2">
        <v>17.652999999999999</v>
      </c>
      <c r="I264" s="2">
        <v>15.875</v>
      </c>
      <c r="J264" s="2">
        <v>40083086.285279997</v>
      </c>
      <c r="K264" s="2">
        <v>353960.58240000001</v>
      </c>
      <c r="L264" s="2">
        <v>308076.80319999997</v>
      </c>
      <c r="M264" s="2">
        <v>105.15599999999999</v>
      </c>
      <c r="N264" s="2">
        <v>1785632.8158239999</v>
      </c>
      <c r="O264" s="1">
        <v>54896.664399999994</v>
      </c>
      <c r="P264" s="2">
        <v>35068.316959999996</v>
      </c>
      <c r="Q264" s="2">
        <v>22.1996</v>
      </c>
      <c r="R264" s="1">
        <v>96981.922164799995</v>
      </c>
      <c r="S264" s="1">
        <v>27927730120.169983</v>
      </c>
      <c r="T264" s="1">
        <v>6354.8259999999991</v>
      </c>
      <c r="U264" s="2">
        <v>1627464.8740959999</v>
      </c>
      <c r="V264" s="2">
        <v>59812.783599999995</v>
      </c>
      <c r="W264" s="1">
        <v>10.6</v>
      </c>
      <c r="X264" s="2">
        <v>173702.87839999999</v>
      </c>
      <c r="Y264" s="2">
        <v>26.923999999999999</v>
      </c>
      <c r="Z264" s="2">
        <v>249.17400000000001</v>
      </c>
      <c r="AA264" s="2">
        <v>800.09999999999991</v>
      </c>
      <c r="AB264" s="2">
        <v>901.69999999999993</v>
      </c>
      <c r="AC264" s="2">
        <v>619.75999999999988</v>
      </c>
      <c r="AD264" s="2">
        <v>721.3599999999999</v>
      </c>
      <c r="AE264" s="2">
        <v>212.72499999999999</v>
      </c>
      <c r="AF264" s="2">
        <v>57.15</v>
      </c>
      <c r="AG264" s="2"/>
    </row>
    <row r="265" spans="1:33" x14ac:dyDescent="0.25">
      <c r="A265" s="1" t="s">
        <v>265</v>
      </c>
      <c r="B265" s="1">
        <v>25.298786979999999</v>
      </c>
      <c r="C265" s="1">
        <v>3219.3483999999999</v>
      </c>
      <c r="D265" s="2">
        <v>256.53999999999996</v>
      </c>
      <c r="E265" s="2">
        <v>101.85399999999998</v>
      </c>
      <c r="F265" s="2">
        <v>6.0959999999999992</v>
      </c>
      <c r="G265" s="2">
        <v>8.3819999999999997</v>
      </c>
      <c r="H265" s="2">
        <v>16.001999999999999</v>
      </c>
      <c r="I265" s="2">
        <v>14.2875</v>
      </c>
      <c r="J265" s="2">
        <v>34089353.756640002</v>
      </c>
      <c r="K265" s="2">
        <v>306438.09679999994</v>
      </c>
      <c r="L265" s="2">
        <v>265470.43679999997</v>
      </c>
      <c r="M265" s="2">
        <v>102.86999999999999</v>
      </c>
      <c r="N265" s="2">
        <v>1481783.8751359999</v>
      </c>
      <c r="O265" s="1">
        <v>45883.77919999999</v>
      </c>
      <c r="P265" s="2">
        <v>29168.973919999997</v>
      </c>
      <c r="Q265" s="2">
        <v>21.462999999999997</v>
      </c>
      <c r="R265" s="1">
        <v>64932.102393599991</v>
      </c>
      <c r="S265" s="1">
        <v>22852402242.562168</v>
      </c>
      <c r="T265" s="1">
        <v>6316.116399999999</v>
      </c>
      <c r="U265" s="2">
        <v>1348589.8189439999</v>
      </c>
      <c r="V265" s="2">
        <v>49816.674559999999</v>
      </c>
      <c r="W265" s="1">
        <v>9.14</v>
      </c>
      <c r="X265" s="2">
        <v>149777.76496</v>
      </c>
      <c r="Y265" s="2">
        <v>26.416</v>
      </c>
      <c r="Z265" s="2">
        <v>248.15799999999999</v>
      </c>
      <c r="AA265" s="2">
        <v>792.4799999999999</v>
      </c>
      <c r="AB265" s="2">
        <v>894.08</v>
      </c>
      <c r="AC265" s="2">
        <v>614.67999999999995</v>
      </c>
      <c r="AD265" s="2">
        <v>716.28</v>
      </c>
      <c r="AE265" s="2">
        <v>212.72499999999999</v>
      </c>
      <c r="AF265" s="2">
        <v>57.15</v>
      </c>
      <c r="AG265" s="2"/>
    </row>
    <row r="266" spans="1:33" x14ac:dyDescent="0.25">
      <c r="A266" s="1" t="s">
        <v>266</v>
      </c>
      <c r="B266" s="1">
        <v>22.3224591</v>
      </c>
      <c r="C266" s="1">
        <v>2845.1556</v>
      </c>
      <c r="D266" s="2">
        <v>253.74599999999998</v>
      </c>
      <c r="E266" s="2">
        <v>101.6</v>
      </c>
      <c r="F266" s="2">
        <v>5.8419999999999996</v>
      </c>
      <c r="G266" s="2">
        <v>6.8579999999999997</v>
      </c>
      <c r="H266" s="2">
        <v>14.477999999999998</v>
      </c>
      <c r="I266" s="2">
        <v>14.2875</v>
      </c>
      <c r="J266" s="2">
        <v>28678345.223839998</v>
      </c>
      <c r="K266" s="2">
        <v>262193.02399999998</v>
      </c>
      <c r="L266" s="2">
        <v>226141.48319999999</v>
      </c>
      <c r="M266" s="2">
        <v>100.33</v>
      </c>
      <c r="N266" s="2">
        <v>1202908.8199839999</v>
      </c>
      <c r="O266" s="1">
        <v>37690.247199999991</v>
      </c>
      <c r="P266" s="2">
        <v>23761.242799999996</v>
      </c>
      <c r="Q266" s="2">
        <v>20.574000000000002</v>
      </c>
      <c r="R266" s="1">
        <v>43288.068262399996</v>
      </c>
      <c r="S266" s="1">
        <v>18340999684.688557</v>
      </c>
      <c r="T266" s="1">
        <v>6277.4067999999997</v>
      </c>
      <c r="U266" s="2">
        <v>1094688.6493279999</v>
      </c>
      <c r="V266" s="2">
        <v>40639.918719999994</v>
      </c>
      <c r="W266" s="1">
        <v>7.83</v>
      </c>
      <c r="X266" s="2">
        <v>128310.71111999999</v>
      </c>
      <c r="Y266" s="2">
        <v>25.654</v>
      </c>
      <c r="Z266" s="2">
        <v>246.88800000000001</v>
      </c>
      <c r="AA266" s="2">
        <v>787.4</v>
      </c>
      <c r="AB266" s="2">
        <v>889</v>
      </c>
      <c r="AC266" s="2">
        <v>609.59999999999991</v>
      </c>
      <c r="AD266" s="2">
        <v>711.19999999999993</v>
      </c>
      <c r="AE266" s="2">
        <v>212.72499999999999</v>
      </c>
      <c r="AF266" s="2">
        <v>57.15</v>
      </c>
      <c r="AG266" s="2"/>
    </row>
    <row r="267" spans="1:33" x14ac:dyDescent="0.25">
      <c r="A267" s="1" t="s">
        <v>267</v>
      </c>
      <c r="B267" s="1">
        <v>17.85796728</v>
      </c>
      <c r="C267" s="1">
        <v>2283.8663999999999</v>
      </c>
      <c r="D267" s="2">
        <v>250.69799999999998</v>
      </c>
      <c r="E267" s="2">
        <v>100.58399999999999</v>
      </c>
      <c r="F267" s="2">
        <v>4.8259999999999996</v>
      </c>
      <c r="G267" s="2">
        <v>5.3339999999999996</v>
      </c>
      <c r="H267" s="2">
        <v>12.953999999999999</v>
      </c>
      <c r="I267" s="2">
        <v>14.2875</v>
      </c>
      <c r="J267" s="2">
        <v>22393250.697279997</v>
      </c>
      <c r="K267" s="2">
        <v>206477.00639999998</v>
      </c>
      <c r="L267" s="2">
        <v>178618.9976</v>
      </c>
      <c r="M267" s="2">
        <v>99.059999999999988</v>
      </c>
      <c r="N267" s="2">
        <v>907384.50780799997</v>
      </c>
      <c r="O267" s="1">
        <v>28513.491359999996</v>
      </c>
      <c r="P267" s="2">
        <v>18025.770400000001</v>
      </c>
      <c r="Q267" s="2">
        <v>19.939</v>
      </c>
      <c r="R267" s="1">
        <v>22767.858980319997</v>
      </c>
      <c r="S267" s="1">
        <v>13668475606.890884</v>
      </c>
      <c r="T267" s="1">
        <v>6167.7295999999997</v>
      </c>
      <c r="U267" s="2">
        <v>828300.53694399993</v>
      </c>
      <c r="V267" s="2">
        <v>31299.292239999995</v>
      </c>
      <c r="W267" s="1">
        <v>6.14</v>
      </c>
      <c r="X267" s="2">
        <v>100616.57295999999</v>
      </c>
      <c r="Y267" s="2">
        <v>24.9682</v>
      </c>
      <c r="Z267" s="2">
        <v>245.36399999999998</v>
      </c>
      <c r="AA267" s="2">
        <v>779.78</v>
      </c>
      <c r="AB267" s="2">
        <v>881.38</v>
      </c>
      <c r="AC267" s="2">
        <v>601.9799999999999</v>
      </c>
      <c r="AD267" s="2">
        <v>703.57999999999993</v>
      </c>
      <c r="AE267" s="2">
        <v>212.72499999999999</v>
      </c>
      <c r="AF267" s="2">
        <v>57.15</v>
      </c>
      <c r="AG267" s="2"/>
    </row>
    <row r="268" spans="1:33" x14ac:dyDescent="0.25">
      <c r="A268" s="1" t="s">
        <v>268</v>
      </c>
      <c r="B268" s="1">
        <v>99.706983980000004</v>
      </c>
      <c r="C268" s="1">
        <v>12709.651999999998</v>
      </c>
      <c r="D268" s="2">
        <v>228.6</v>
      </c>
      <c r="E268" s="2">
        <v>210.31199999999998</v>
      </c>
      <c r="F268" s="2">
        <v>14.477999999999998</v>
      </c>
      <c r="G268" s="2">
        <v>23.748999999999999</v>
      </c>
      <c r="H268" s="2">
        <v>33.781999999999996</v>
      </c>
      <c r="I268" s="2">
        <v>23.8125</v>
      </c>
      <c r="J268" s="2">
        <v>113214947.76319999</v>
      </c>
      <c r="K268" s="2">
        <v>1148733.1863999998</v>
      </c>
      <c r="L268" s="2">
        <v>989778.66559999983</v>
      </c>
      <c r="M268" s="2">
        <v>94.488</v>
      </c>
      <c r="N268" s="2">
        <v>36878104.308159992</v>
      </c>
      <c r="O268" s="1">
        <v>535856.99280000001</v>
      </c>
      <c r="P268" s="2">
        <v>350683.16959999996</v>
      </c>
      <c r="Q268" s="2">
        <v>53.847999999999999</v>
      </c>
      <c r="R268" s="1">
        <v>2101968.6992799998</v>
      </c>
      <c r="S268" s="1">
        <v>386691647817.73822</v>
      </c>
      <c r="T268" s="1">
        <v>10774.171999999999</v>
      </c>
      <c r="U268" s="2">
        <v>13444275.046879997</v>
      </c>
      <c r="V268" s="2">
        <v>237612.42799999999</v>
      </c>
      <c r="W268" s="1">
        <v>34.799999999999997</v>
      </c>
      <c r="X268" s="2">
        <v>570269.82719999994</v>
      </c>
      <c r="Y268" s="2">
        <v>61.722000000000001</v>
      </c>
      <c r="Z268" s="2">
        <v>204.97800000000001</v>
      </c>
      <c r="AA268" s="2">
        <v>1041.3999999999999</v>
      </c>
      <c r="AB268" s="2">
        <v>1252.2199999999998</v>
      </c>
      <c r="AC268" s="2">
        <v>668.02</v>
      </c>
      <c r="AD268" s="2">
        <v>878.84</v>
      </c>
      <c r="AE268" s="2">
        <v>146.04999999999998</v>
      </c>
      <c r="AF268" s="2">
        <v>139.69999999999999</v>
      </c>
      <c r="AG268" s="2"/>
    </row>
    <row r="269" spans="1:33" x14ac:dyDescent="0.25">
      <c r="A269" s="1" t="s">
        <v>269</v>
      </c>
      <c r="B269" s="1">
        <v>86.313508519999999</v>
      </c>
      <c r="C269" s="1">
        <v>11032.236000000001</v>
      </c>
      <c r="D269" s="2">
        <v>222.25</v>
      </c>
      <c r="E269" s="2">
        <v>208.78800000000001</v>
      </c>
      <c r="F269" s="2">
        <v>12.953999999999999</v>
      </c>
      <c r="G269" s="2">
        <v>20.574000000000002</v>
      </c>
      <c r="H269" s="2">
        <v>30.479999999999997</v>
      </c>
      <c r="I269" s="2">
        <v>22.224999999999998</v>
      </c>
      <c r="J269" s="2">
        <v>94900765.036799997</v>
      </c>
      <c r="K269" s="2">
        <v>979946.42719999992</v>
      </c>
      <c r="L269" s="2">
        <v>852127.32799999998</v>
      </c>
      <c r="M269" s="2">
        <v>92.71</v>
      </c>
      <c r="N269" s="2">
        <v>31258980.062559996</v>
      </c>
      <c r="O269" s="1">
        <v>457199.08559999993</v>
      </c>
      <c r="P269" s="2">
        <v>299883.27119999996</v>
      </c>
      <c r="Q269" s="2">
        <v>53.339999999999996</v>
      </c>
      <c r="R269" s="1">
        <v>1386050.6472479999</v>
      </c>
      <c r="S269" s="1">
        <v>316872322517.31323</v>
      </c>
      <c r="T269" s="1">
        <v>10516.108</v>
      </c>
      <c r="U269" s="2">
        <v>11321494.776319999</v>
      </c>
      <c r="V269" s="2">
        <v>203199.59359999999</v>
      </c>
      <c r="W269" s="1">
        <v>29.7</v>
      </c>
      <c r="X269" s="2">
        <v>486695.80079999997</v>
      </c>
      <c r="Y269" s="2">
        <v>60.706000000000003</v>
      </c>
      <c r="Z269" s="2">
        <v>201.67599999999999</v>
      </c>
      <c r="AA269" s="2">
        <v>1028.7</v>
      </c>
      <c r="AB269" s="2">
        <v>1236.98</v>
      </c>
      <c r="AC269" s="2">
        <v>652.78</v>
      </c>
      <c r="AD269" s="2">
        <v>861.06</v>
      </c>
      <c r="AE269" s="2">
        <v>146.04999999999998</v>
      </c>
      <c r="AF269" s="2">
        <v>139.69999999999999</v>
      </c>
      <c r="AG269" s="2"/>
    </row>
    <row r="270" spans="1:33" x14ac:dyDescent="0.25">
      <c r="A270" s="1" t="s">
        <v>270</v>
      </c>
      <c r="B270" s="1">
        <v>71.431869120000002</v>
      </c>
      <c r="C270" s="1">
        <v>9096.7559999999994</v>
      </c>
      <c r="D270" s="2">
        <v>215.89999999999998</v>
      </c>
      <c r="E270" s="2">
        <v>205.99399999999997</v>
      </c>
      <c r="F270" s="2">
        <v>10.16</v>
      </c>
      <c r="G270" s="2">
        <v>17.399000000000001</v>
      </c>
      <c r="H270" s="2">
        <v>27.431999999999999</v>
      </c>
      <c r="I270" s="2">
        <v>20.637499999999999</v>
      </c>
      <c r="J270" s="2">
        <v>76586582.310399994</v>
      </c>
      <c r="K270" s="2">
        <v>802966.13599999994</v>
      </c>
      <c r="L270" s="2">
        <v>707921.16480000003</v>
      </c>
      <c r="M270" s="2">
        <v>91.693999999999988</v>
      </c>
      <c r="N270" s="2">
        <v>25348493.819039997</v>
      </c>
      <c r="O270" s="1">
        <v>375263.76559999993</v>
      </c>
      <c r="P270" s="2">
        <v>245805.95999999996</v>
      </c>
      <c r="Q270" s="2">
        <v>52.832000000000001</v>
      </c>
      <c r="R270" s="1">
        <v>815813.59417599987</v>
      </c>
      <c r="S270" s="1">
        <v>250006891748.82938</v>
      </c>
      <c r="T270" s="1">
        <v>10193.528</v>
      </c>
      <c r="U270" s="2">
        <v>9157091.3631999996</v>
      </c>
      <c r="V270" s="2">
        <v>168786.7592</v>
      </c>
      <c r="W270" s="1">
        <v>24.2</v>
      </c>
      <c r="X270" s="2">
        <v>396566.94879999995</v>
      </c>
      <c r="Y270" s="2">
        <v>59.69</v>
      </c>
      <c r="Z270" s="2">
        <v>198.62799999999999</v>
      </c>
      <c r="AA270" s="2">
        <v>1013.4599999999999</v>
      </c>
      <c r="AB270" s="2">
        <v>1219.1999999999998</v>
      </c>
      <c r="AC270" s="2">
        <v>637.54</v>
      </c>
      <c r="AD270" s="2">
        <v>843.28</v>
      </c>
      <c r="AE270" s="2">
        <v>146.04999999999998</v>
      </c>
      <c r="AF270" s="2">
        <v>139.69999999999999</v>
      </c>
      <c r="AG270" s="2"/>
    </row>
    <row r="271" spans="1:33" x14ac:dyDescent="0.25">
      <c r="A271" s="1" t="s">
        <v>271</v>
      </c>
      <c r="B271" s="1">
        <v>59.526557599999997</v>
      </c>
      <c r="C271" s="1">
        <v>7548.3719999999994</v>
      </c>
      <c r="D271" s="2">
        <v>209.54999999999998</v>
      </c>
      <c r="E271" s="2">
        <v>204.97800000000001</v>
      </c>
      <c r="F271" s="2">
        <v>9.1439999999999984</v>
      </c>
      <c r="G271" s="2">
        <v>14.224</v>
      </c>
      <c r="H271" s="2">
        <v>24.231599999999997</v>
      </c>
      <c r="I271" s="2">
        <v>20.637499999999999</v>
      </c>
      <c r="J271" s="2">
        <v>60769788.137599997</v>
      </c>
      <c r="K271" s="2">
        <v>652205.14719999989</v>
      </c>
      <c r="L271" s="2">
        <v>581740.772</v>
      </c>
      <c r="M271" s="2">
        <v>89.661999999999992</v>
      </c>
      <c r="N271" s="2">
        <v>20436962.996959999</v>
      </c>
      <c r="O271" s="1">
        <v>303160.68399999995</v>
      </c>
      <c r="P271" s="2">
        <v>199922.18079999997</v>
      </c>
      <c r="Q271" s="2">
        <v>51.815999999999995</v>
      </c>
      <c r="R271" s="1">
        <v>466179.19667199999</v>
      </c>
      <c r="S271" s="1">
        <v>194957039108.10968</v>
      </c>
      <c r="T271" s="1">
        <v>9999.98</v>
      </c>
      <c r="U271" s="2">
        <v>7284049.9479999989</v>
      </c>
      <c r="V271" s="2">
        <v>136012.6312</v>
      </c>
      <c r="W271" s="1">
        <v>19.7</v>
      </c>
      <c r="X271" s="2">
        <v>322825.16079999995</v>
      </c>
      <c r="Y271" s="2">
        <v>58.673999999999999</v>
      </c>
      <c r="Z271" s="2">
        <v>195.32599999999999</v>
      </c>
      <c r="AA271" s="2">
        <v>998.21999999999991</v>
      </c>
      <c r="AB271" s="2">
        <v>1203.9599999999998</v>
      </c>
      <c r="AC271" s="2">
        <v>624.84</v>
      </c>
      <c r="AD271" s="2">
        <v>828.04</v>
      </c>
      <c r="AE271" s="2">
        <v>146.04999999999998</v>
      </c>
      <c r="AF271" s="2">
        <v>139.69999999999999</v>
      </c>
      <c r="AG271" s="2"/>
    </row>
    <row r="272" spans="1:33" x14ac:dyDescent="0.25">
      <c r="A272" s="1" t="s">
        <v>272</v>
      </c>
      <c r="B272" s="1">
        <v>52.085737899999998</v>
      </c>
      <c r="C272" s="1">
        <v>6645.1480000000001</v>
      </c>
      <c r="D272" s="2">
        <v>206.24799999999996</v>
      </c>
      <c r="E272" s="2">
        <v>203.70799999999997</v>
      </c>
      <c r="F272" s="2">
        <v>7.8739999999999997</v>
      </c>
      <c r="G272" s="2">
        <v>12.572999999999999</v>
      </c>
      <c r="H272" s="2">
        <v>22.5806</v>
      </c>
      <c r="I272" s="2">
        <v>20.637499999999999</v>
      </c>
      <c r="J272" s="2">
        <v>52861391.051199995</v>
      </c>
      <c r="K272" s="2">
        <v>568631.12080000003</v>
      </c>
      <c r="L272" s="2">
        <v>511276.39679999993</v>
      </c>
      <c r="M272" s="2">
        <v>89.153999999999996</v>
      </c>
      <c r="N272" s="2">
        <v>17731458.730559997</v>
      </c>
      <c r="O272" s="1">
        <v>263831.7304</v>
      </c>
      <c r="P272" s="2">
        <v>173702.87839999999</v>
      </c>
      <c r="Q272" s="2">
        <v>51.561999999999991</v>
      </c>
      <c r="R272" s="1">
        <v>320081.96628639998</v>
      </c>
      <c r="S272" s="1">
        <v>166223701388.31943</v>
      </c>
      <c r="T272" s="1">
        <v>9870.9480000000003</v>
      </c>
      <c r="U272" s="2">
        <v>6326717.6691199988</v>
      </c>
      <c r="V272" s="2">
        <v>119297.82591999999</v>
      </c>
      <c r="W272" s="1">
        <v>17.100000000000001</v>
      </c>
      <c r="X272" s="2">
        <v>280218.79440000001</v>
      </c>
      <c r="Y272" s="2">
        <v>57.911999999999992</v>
      </c>
      <c r="Z272" s="2">
        <v>193.80199999999999</v>
      </c>
      <c r="AA272" s="2">
        <v>990.59999999999991</v>
      </c>
      <c r="AB272" s="2">
        <v>1193.8</v>
      </c>
      <c r="AC272" s="2">
        <v>617.22</v>
      </c>
      <c r="AD272" s="2">
        <v>820.41999999999985</v>
      </c>
      <c r="AE272" s="2">
        <v>146.04999999999998</v>
      </c>
      <c r="AF272" s="2">
        <v>139.69999999999999</v>
      </c>
      <c r="AG272" s="2"/>
    </row>
    <row r="273" spans="1:33" x14ac:dyDescent="0.25">
      <c r="A273" s="1" t="s">
        <v>273</v>
      </c>
      <c r="B273" s="1">
        <v>46.133082139999999</v>
      </c>
      <c r="C273" s="1">
        <v>5890.3108000000002</v>
      </c>
      <c r="D273" s="2">
        <v>203.2</v>
      </c>
      <c r="E273" s="2">
        <v>203.2</v>
      </c>
      <c r="F273" s="2">
        <v>7.238999999999999</v>
      </c>
      <c r="G273" s="2">
        <v>11.048999999999999</v>
      </c>
      <c r="H273" s="2">
        <v>21.0566</v>
      </c>
      <c r="I273" s="2">
        <v>19.049999999999997</v>
      </c>
      <c r="J273" s="2">
        <v>45785456.815999992</v>
      </c>
      <c r="K273" s="2">
        <v>498166.74559999991</v>
      </c>
      <c r="L273" s="2">
        <v>450644.25999999995</v>
      </c>
      <c r="M273" s="2">
        <v>88.138000000000005</v>
      </c>
      <c r="N273" s="2">
        <v>15442185.889759999</v>
      </c>
      <c r="O273" s="1">
        <v>231057.60239999997</v>
      </c>
      <c r="P273" s="2">
        <v>151908.08327999999</v>
      </c>
      <c r="Q273" s="2">
        <v>51.308</v>
      </c>
      <c r="R273" s="1">
        <v>223100.04412159999</v>
      </c>
      <c r="S273" s="1">
        <v>142324009266.25089</v>
      </c>
      <c r="T273" s="1">
        <v>9741.9159999999993</v>
      </c>
      <c r="U273" s="2">
        <v>5494254.8179199994</v>
      </c>
      <c r="V273" s="2">
        <v>104057.85639999999</v>
      </c>
      <c r="W273" s="1">
        <v>15</v>
      </c>
      <c r="X273" s="2">
        <v>245805.95999999996</v>
      </c>
      <c r="Y273" s="2">
        <v>57.403999999999989</v>
      </c>
      <c r="Z273" s="2">
        <v>192.27799999999999</v>
      </c>
      <c r="AA273" s="2">
        <v>985.51999999999987</v>
      </c>
      <c r="AB273" s="2">
        <v>1188.7199999999998</v>
      </c>
      <c r="AC273" s="2">
        <v>609.59999999999991</v>
      </c>
      <c r="AD273" s="2">
        <v>812.8</v>
      </c>
      <c r="AE273" s="2">
        <v>146.04999999999998</v>
      </c>
      <c r="AF273" s="2">
        <v>139.69999999999999</v>
      </c>
      <c r="AG273" s="2"/>
    </row>
    <row r="274" spans="1:33" x14ac:dyDescent="0.25">
      <c r="A274" s="1" t="s">
        <v>274</v>
      </c>
      <c r="B274" s="1">
        <v>41.66859032</v>
      </c>
      <c r="C274" s="1">
        <v>5322.57</v>
      </c>
      <c r="D274" s="2">
        <v>204.72399999999999</v>
      </c>
      <c r="E274" s="2">
        <v>166.11599999999999</v>
      </c>
      <c r="F274" s="2">
        <v>7.238999999999999</v>
      </c>
      <c r="G274" s="2">
        <v>11.811</v>
      </c>
      <c r="H274" s="2">
        <v>21.8186</v>
      </c>
      <c r="I274" s="2">
        <v>15.875</v>
      </c>
      <c r="J274" s="2">
        <v>40790679.708799995</v>
      </c>
      <c r="K274" s="2">
        <v>445728.14079999994</v>
      </c>
      <c r="L274" s="2">
        <v>398205.65519999998</v>
      </c>
      <c r="M274" s="2">
        <v>87.63</v>
      </c>
      <c r="N274" s="2">
        <v>9032221.9355199989</v>
      </c>
      <c r="O274" s="1">
        <v>165509.34639999998</v>
      </c>
      <c r="P274" s="2">
        <v>108646.23431999999</v>
      </c>
      <c r="Q274" s="2">
        <v>41.148000000000003</v>
      </c>
      <c r="R274" s="1">
        <v>223516.2755472</v>
      </c>
      <c r="S274" s="1">
        <v>83783190360.509949</v>
      </c>
      <c r="T274" s="1">
        <v>7999.9839999999995</v>
      </c>
      <c r="U274" s="2">
        <v>3929224.6576639996</v>
      </c>
      <c r="V274" s="2">
        <v>90456.593279999986</v>
      </c>
      <c r="W274" s="1">
        <v>13.4</v>
      </c>
      <c r="X274" s="2">
        <v>219586.65759999998</v>
      </c>
      <c r="Y274" s="2">
        <v>46.735999999999997</v>
      </c>
      <c r="Z274" s="2">
        <v>193.04</v>
      </c>
      <c r="AA274" s="2">
        <v>876.3</v>
      </c>
      <c r="AB274" s="2">
        <v>1041.3999999999999</v>
      </c>
      <c r="AC274" s="2">
        <v>576.57999999999993</v>
      </c>
      <c r="AD274" s="2">
        <v>741.68</v>
      </c>
      <c r="AE274" s="2">
        <v>155.57499999999999</v>
      </c>
      <c r="AF274" s="2">
        <v>101.6</v>
      </c>
      <c r="AG274" s="2"/>
    </row>
    <row r="275" spans="1:33" x14ac:dyDescent="0.25">
      <c r="A275" s="1" t="s">
        <v>275</v>
      </c>
      <c r="B275" s="1">
        <v>35.715934560000001</v>
      </c>
      <c r="C275" s="1">
        <v>4567.7327999999998</v>
      </c>
      <c r="D275" s="2">
        <v>201.42199999999997</v>
      </c>
      <c r="E275" s="2">
        <v>165.1</v>
      </c>
      <c r="F275" s="2">
        <v>6.2229999999999999</v>
      </c>
      <c r="G275" s="2">
        <v>10.16</v>
      </c>
      <c r="H275" s="2">
        <v>20.1676</v>
      </c>
      <c r="I275" s="2">
        <v>14.2875</v>
      </c>
      <c r="J275" s="2">
        <v>34422338.897119999</v>
      </c>
      <c r="K275" s="2">
        <v>378541.17839999998</v>
      </c>
      <c r="L275" s="2">
        <v>342489.63759999996</v>
      </c>
      <c r="M275" s="2">
        <v>86.867999999999995</v>
      </c>
      <c r="N275" s="2">
        <v>7617035.0884799995</v>
      </c>
      <c r="O275" s="1">
        <v>140437.13847999999</v>
      </c>
      <c r="P275" s="2">
        <v>92259.17031999999</v>
      </c>
      <c r="Q275" s="2">
        <v>40.893999999999998</v>
      </c>
      <c r="R275" s="1">
        <v>144016.07325759999</v>
      </c>
      <c r="S275" s="1">
        <v>69550789433.884857</v>
      </c>
      <c r="T275" s="1">
        <v>7870.9519999999993</v>
      </c>
      <c r="U275" s="2">
        <v>3309039.8335199999</v>
      </c>
      <c r="V275" s="2">
        <v>77183.071439999985</v>
      </c>
      <c r="W275" s="1">
        <v>11.3</v>
      </c>
      <c r="X275" s="2">
        <v>185173.82319999998</v>
      </c>
      <c r="Y275" s="2">
        <v>45.973999999999997</v>
      </c>
      <c r="Z275" s="2">
        <v>191.262</v>
      </c>
      <c r="AA275" s="2">
        <v>868.68000000000006</v>
      </c>
      <c r="AB275" s="2">
        <v>1033.78</v>
      </c>
      <c r="AC275" s="2">
        <v>568.95999999999992</v>
      </c>
      <c r="AD275" s="2">
        <v>734.06</v>
      </c>
      <c r="AE275" s="2">
        <v>155.57499999999999</v>
      </c>
      <c r="AF275" s="2">
        <v>101.6</v>
      </c>
      <c r="AG275" s="2"/>
    </row>
    <row r="276" spans="1:33" x14ac:dyDescent="0.25">
      <c r="A276" s="1" t="s">
        <v>276</v>
      </c>
      <c r="B276" s="1">
        <v>31.251442739999998</v>
      </c>
      <c r="C276" s="1">
        <v>3974.1855999999998</v>
      </c>
      <c r="D276" s="2">
        <v>210.31199999999998</v>
      </c>
      <c r="E276" s="2">
        <v>133.85799999999998</v>
      </c>
      <c r="F276" s="2">
        <v>6.35</v>
      </c>
      <c r="G276" s="2">
        <v>10.16</v>
      </c>
      <c r="H276" s="2">
        <v>17.779999999999998</v>
      </c>
      <c r="I276" s="2">
        <v>14.2875</v>
      </c>
      <c r="J276" s="2">
        <v>31342226.347679995</v>
      </c>
      <c r="K276" s="2">
        <v>334296.10559999995</v>
      </c>
      <c r="L276" s="2">
        <v>298244.56479999993</v>
      </c>
      <c r="M276" s="2">
        <v>88.646000000000001</v>
      </c>
      <c r="N276" s="2">
        <v>4066581.0281119994</v>
      </c>
      <c r="O276" s="1">
        <v>93242.394159999996</v>
      </c>
      <c r="P276" s="2">
        <v>60796.007439999994</v>
      </c>
      <c r="Q276" s="2">
        <v>32.003999999999998</v>
      </c>
      <c r="R276" s="1">
        <v>117377.26201919997</v>
      </c>
      <c r="S276" s="1">
        <v>40817451714.094589</v>
      </c>
      <c r="T276" s="1">
        <v>6709.6639999999998</v>
      </c>
      <c r="U276" s="2">
        <v>2276785.8980319998</v>
      </c>
      <c r="V276" s="2">
        <v>64892.77343999999</v>
      </c>
      <c r="W276" s="1">
        <v>10.1</v>
      </c>
      <c r="X276" s="2">
        <v>165509.34639999998</v>
      </c>
      <c r="Y276" s="2">
        <v>37.083999999999996</v>
      </c>
      <c r="Z276" s="2">
        <v>200.15199999999999</v>
      </c>
      <c r="AA276" s="2">
        <v>795.02</v>
      </c>
      <c r="AB276" s="2">
        <v>929.64</v>
      </c>
      <c r="AC276" s="2">
        <v>553.72</v>
      </c>
      <c r="AD276" s="2">
        <v>688.34</v>
      </c>
      <c r="AE276" s="2">
        <v>165.1</v>
      </c>
      <c r="AF276" s="2">
        <v>69.849999999999994</v>
      </c>
      <c r="AG276" s="2"/>
    </row>
    <row r="277" spans="1:33" x14ac:dyDescent="0.25">
      <c r="A277" s="1" t="s">
        <v>277</v>
      </c>
      <c r="B277" s="1">
        <v>26.786950919999999</v>
      </c>
      <c r="C277" s="1">
        <v>3393.5415999999996</v>
      </c>
      <c r="D277" s="2">
        <v>206.756</v>
      </c>
      <c r="E277" s="2">
        <v>133.35</v>
      </c>
      <c r="F277" s="2">
        <v>5.8419999999999996</v>
      </c>
      <c r="G277" s="2">
        <v>8.3819999999999997</v>
      </c>
      <c r="H277" s="2">
        <v>16.001999999999999</v>
      </c>
      <c r="I277" s="2">
        <v>14.2875</v>
      </c>
      <c r="J277" s="2">
        <v>25764725.244639996</v>
      </c>
      <c r="K277" s="2">
        <v>278580.08799999999</v>
      </c>
      <c r="L277" s="2">
        <v>249083.37279999995</v>
      </c>
      <c r="M277" s="2">
        <v>87.122</v>
      </c>
      <c r="N277" s="2">
        <v>3317364.4620319996</v>
      </c>
      <c r="O277" s="1">
        <v>76363.718240000002</v>
      </c>
      <c r="P277" s="2">
        <v>49816.674559999999</v>
      </c>
      <c r="Q277" s="2">
        <v>31.241999999999997</v>
      </c>
      <c r="R277" s="1">
        <v>71591.805203199983</v>
      </c>
      <c r="S277" s="1">
        <v>32761375717.891708</v>
      </c>
      <c r="T277" s="1">
        <v>6645.1480000000001</v>
      </c>
      <c r="U277" s="2">
        <v>1848067.529664</v>
      </c>
      <c r="V277" s="2">
        <v>52930.216719999997</v>
      </c>
      <c r="W277" s="1">
        <v>8.3699999999999992</v>
      </c>
      <c r="X277" s="2">
        <v>137159.72567999997</v>
      </c>
      <c r="Y277" s="2">
        <v>36.321999999999996</v>
      </c>
      <c r="Z277" s="2">
        <v>198.37399999999997</v>
      </c>
      <c r="AA277" s="2">
        <v>787.4</v>
      </c>
      <c r="AB277" s="2">
        <v>922.01999999999987</v>
      </c>
      <c r="AC277" s="2">
        <v>546.1</v>
      </c>
      <c r="AD277" s="2">
        <v>680.72</v>
      </c>
      <c r="AE277" s="2">
        <v>165.1</v>
      </c>
      <c r="AF277" s="2">
        <v>69.849999999999994</v>
      </c>
      <c r="AG277" s="2"/>
    </row>
    <row r="278" spans="1:33" x14ac:dyDescent="0.25">
      <c r="A278" s="1" t="s">
        <v>278</v>
      </c>
      <c r="B278" s="1">
        <v>22.3224591</v>
      </c>
      <c r="C278" s="1">
        <v>2864.5104000000001</v>
      </c>
      <c r="D278" s="2">
        <v>205.99399999999997</v>
      </c>
      <c r="E278" s="2">
        <v>102.10799999999999</v>
      </c>
      <c r="F278" s="2">
        <v>6.2229999999999999</v>
      </c>
      <c r="G278" s="2">
        <v>8.0009999999999994</v>
      </c>
      <c r="H278" s="2">
        <v>15.620999999999999</v>
      </c>
      <c r="I278" s="2">
        <v>14.2875</v>
      </c>
      <c r="J278" s="2">
        <v>19979108.428799998</v>
      </c>
      <c r="K278" s="2">
        <v>222864.07039999997</v>
      </c>
      <c r="L278" s="2">
        <v>193367.35519999999</v>
      </c>
      <c r="M278" s="2">
        <v>83.566000000000003</v>
      </c>
      <c r="N278" s="2">
        <v>1419349.161296</v>
      </c>
      <c r="O278" s="1">
        <v>43753.460879999991</v>
      </c>
      <c r="P278" s="2">
        <v>27858.008799999996</v>
      </c>
      <c r="Q278" s="2">
        <v>22.250399999999999</v>
      </c>
      <c r="R278" s="1">
        <v>57023.705307199998</v>
      </c>
      <c r="S278" s="1">
        <v>13910157886.776972</v>
      </c>
      <c r="T278" s="1">
        <v>5038.6995999999999</v>
      </c>
      <c r="U278" s="2">
        <v>1028091.6212319999</v>
      </c>
      <c r="V278" s="2">
        <v>37854.117839999999</v>
      </c>
      <c r="W278" s="1">
        <v>6.64</v>
      </c>
      <c r="X278" s="2">
        <v>108810.10495999998</v>
      </c>
      <c r="Y278" s="2">
        <v>26.923999999999999</v>
      </c>
      <c r="Z278" s="2">
        <v>198.11999999999998</v>
      </c>
      <c r="AA278" s="2">
        <v>693.42</v>
      </c>
      <c r="AB278" s="2">
        <v>795.02</v>
      </c>
      <c r="AC278" s="2">
        <v>513.07999999999993</v>
      </c>
      <c r="AD278" s="2">
        <v>614.67999999999995</v>
      </c>
      <c r="AE278" s="2">
        <v>165.1</v>
      </c>
      <c r="AF278" s="2">
        <v>57.15</v>
      </c>
      <c r="AG278" s="2"/>
    </row>
    <row r="279" spans="1:33" x14ac:dyDescent="0.25">
      <c r="A279" s="1" t="s">
        <v>279</v>
      </c>
      <c r="B279" s="1">
        <v>19.34613122</v>
      </c>
      <c r="C279" s="1">
        <v>2477.4143999999997</v>
      </c>
      <c r="D279" s="2">
        <v>202.946</v>
      </c>
      <c r="E279" s="2">
        <v>101.6</v>
      </c>
      <c r="F279" s="2">
        <v>5.8419999999999996</v>
      </c>
      <c r="G279" s="2">
        <v>6.4769999999999994</v>
      </c>
      <c r="H279" s="2">
        <v>14.097000000000001</v>
      </c>
      <c r="I279" s="2">
        <v>14.2875</v>
      </c>
      <c r="J279" s="2">
        <v>16482764.453759998</v>
      </c>
      <c r="K279" s="2">
        <v>186812.52959999998</v>
      </c>
      <c r="L279" s="2">
        <v>162395.80424</v>
      </c>
      <c r="M279" s="2">
        <v>81.533999999999992</v>
      </c>
      <c r="N279" s="2">
        <v>1136311.791888</v>
      </c>
      <c r="O279" s="1">
        <v>35232.187599999997</v>
      </c>
      <c r="P279" s="2">
        <v>22450.277679999999</v>
      </c>
      <c r="Q279" s="2">
        <v>21.412199999999999</v>
      </c>
      <c r="R279" s="1">
        <v>36253.757169759992</v>
      </c>
      <c r="S279" s="1">
        <v>10956263354.835915</v>
      </c>
      <c r="T279" s="1">
        <v>4993.5383999999995</v>
      </c>
      <c r="U279" s="2">
        <v>819975.90843199985</v>
      </c>
      <c r="V279" s="2">
        <v>30479.939039999997</v>
      </c>
      <c r="W279" s="1">
        <v>5.55</v>
      </c>
      <c r="X279" s="2">
        <v>90948.205199999982</v>
      </c>
      <c r="Y279" s="2">
        <v>26.161999999999999</v>
      </c>
      <c r="Z279" s="2">
        <v>196.596</v>
      </c>
      <c r="AA279" s="2">
        <v>685.8</v>
      </c>
      <c r="AB279" s="2">
        <v>787.4</v>
      </c>
      <c r="AC279" s="2">
        <v>508</v>
      </c>
      <c r="AD279" s="2">
        <v>609.59999999999991</v>
      </c>
      <c r="AE279" s="2">
        <v>165.1</v>
      </c>
      <c r="AF279" s="2">
        <v>57.15</v>
      </c>
      <c r="AG279" s="2"/>
    </row>
    <row r="280" spans="1:33" x14ac:dyDescent="0.25">
      <c r="A280" s="1" t="s">
        <v>280</v>
      </c>
      <c r="B280" s="1">
        <v>14.881639399999999</v>
      </c>
      <c r="C280" s="1">
        <v>1909.6735999999999</v>
      </c>
      <c r="D280" s="2">
        <v>200.40599999999998</v>
      </c>
      <c r="E280" s="2">
        <v>100.07599999999999</v>
      </c>
      <c r="F280" s="2">
        <v>4.3180000000000005</v>
      </c>
      <c r="G280" s="2">
        <v>5.206999999999999</v>
      </c>
      <c r="H280" s="2">
        <v>12.827</v>
      </c>
      <c r="I280" s="2">
        <v>12.7</v>
      </c>
      <c r="J280" s="2">
        <v>12819927.90848</v>
      </c>
      <c r="K280" s="2">
        <v>145353.25767999998</v>
      </c>
      <c r="L280" s="2">
        <v>127982.96983999998</v>
      </c>
      <c r="M280" s="2">
        <v>81.787999999999997</v>
      </c>
      <c r="N280" s="2">
        <v>869923.67950399988</v>
      </c>
      <c r="O280" s="1">
        <v>27202.526239999996</v>
      </c>
      <c r="P280" s="2">
        <v>17370.287840000001</v>
      </c>
      <c r="Q280" s="2">
        <v>21.3614</v>
      </c>
      <c r="R280" s="1">
        <v>17731.458730559996</v>
      </c>
      <c r="S280" s="1">
        <v>8297758276.0889654</v>
      </c>
      <c r="T280" s="1">
        <v>4883.8612000000003</v>
      </c>
      <c r="U280" s="2">
        <v>636834.081168</v>
      </c>
      <c r="V280" s="2">
        <v>24252.854719999996</v>
      </c>
      <c r="W280" s="1">
        <v>4.29</v>
      </c>
      <c r="X280" s="2">
        <v>70300.504560000001</v>
      </c>
      <c r="Y280" s="2">
        <v>25.654</v>
      </c>
      <c r="Z280" s="2">
        <v>195.32599999999999</v>
      </c>
      <c r="AA280" s="2">
        <v>680.72</v>
      </c>
      <c r="AB280" s="2">
        <v>779.78</v>
      </c>
      <c r="AC280" s="2">
        <v>500.37999999999994</v>
      </c>
      <c r="AD280" s="2">
        <v>601.9799999999999</v>
      </c>
      <c r="AE280" s="2">
        <v>165.1</v>
      </c>
      <c r="AF280" s="2">
        <v>57.15</v>
      </c>
      <c r="AG280" s="2"/>
    </row>
    <row r="281" spans="1:33" x14ac:dyDescent="0.25">
      <c r="A281" s="1" t="s">
        <v>281</v>
      </c>
      <c r="B281" s="1">
        <v>37.204098500000001</v>
      </c>
      <c r="C281" s="1">
        <v>4735.4744000000001</v>
      </c>
      <c r="D281" s="2">
        <v>162.05199999999999</v>
      </c>
      <c r="E281" s="2">
        <v>154.43199999999999</v>
      </c>
      <c r="F281" s="2">
        <v>8.1280000000000001</v>
      </c>
      <c r="G281" s="2">
        <v>11.557</v>
      </c>
      <c r="H281" s="2">
        <v>17.906999999999996</v>
      </c>
      <c r="I281" s="2">
        <v>14.2875</v>
      </c>
      <c r="J281" s="2">
        <v>22226758.127039999</v>
      </c>
      <c r="K281" s="2">
        <v>309715.50959999993</v>
      </c>
      <c r="L281" s="2">
        <v>273663.96879999997</v>
      </c>
      <c r="M281" s="2">
        <v>68.58</v>
      </c>
      <c r="N281" s="2">
        <v>7117557.3777599996</v>
      </c>
      <c r="O281" s="1">
        <v>140273.26783999999</v>
      </c>
      <c r="P281" s="2">
        <v>91931.429040000003</v>
      </c>
      <c r="Q281" s="2">
        <v>38.607999999999997</v>
      </c>
      <c r="R281" s="1">
        <v>191882.6872016</v>
      </c>
      <c r="S281" s="1">
        <v>40280379981.014397</v>
      </c>
      <c r="T281" s="1">
        <v>5812.8915999999999</v>
      </c>
      <c r="U281" s="2">
        <v>2593121.7814879999</v>
      </c>
      <c r="V281" s="2">
        <v>63581.808319999989</v>
      </c>
      <c r="W281" s="1">
        <v>9.39</v>
      </c>
      <c r="X281" s="2">
        <v>153874.53096</v>
      </c>
      <c r="Y281" s="2">
        <v>44.195999999999998</v>
      </c>
      <c r="Z281" s="2">
        <v>150.62199999999999</v>
      </c>
      <c r="AA281" s="2">
        <v>759.45999999999992</v>
      </c>
      <c r="AB281" s="2">
        <v>914.4</v>
      </c>
      <c r="AC281" s="2">
        <v>477.52</v>
      </c>
      <c r="AD281" s="2">
        <v>632.45999999999992</v>
      </c>
      <c r="AE281" s="2">
        <v>114.3</v>
      </c>
      <c r="AF281" s="2">
        <v>88.899999999999991</v>
      </c>
      <c r="AG281" s="2"/>
    </row>
    <row r="282" spans="1:33" x14ac:dyDescent="0.25">
      <c r="A282" s="1" t="s">
        <v>282</v>
      </c>
      <c r="B282" s="1">
        <v>29.763278799999998</v>
      </c>
      <c r="C282" s="1">
        <v>3787.0891999999999</v>
      </c>
      <c r="D282" s="2">
        <v>157.47999999999999</v>
      </c>
      <c r="E282" s="2">
        <v>152.90799999999999</v>
      </c>
      <c r="F282" s="2">
        <v>6.6040000000000001</v>
      </c>
      <c r="G282" s="2">
        <v>9.270999999999999</v>
      </c>
      <c r="H282" s="2">
        <v>15.620999999999999</v>
      </c>
      <c r="I282" s="2">
        <v>14.2875</v>
      </c>
      <c r="J282" s="2">
        <v>17231981.019839998</v>
      </c>
      <c r="K282" s="2">
        <v>244167.2536</v>
      </c>
      <c r="L282" s="2">
        <v>219586.65759999998</v>
      </c>
      <c r="M282" s="2">
        <v>67.563999999999993</v>
      </c>
      <c r="N282" s="2">
        <v>5535877.9604799999</v>
      </c>
      <c r="O282" s="1">
        <v>110121.07007999999</v>
      </c>
      <c r="P282" s="2">
        <v>72266.952239999999</v>
      </c>
      <c r="Q282" s="2">
        <v>38.099999999999994</v>
      </c>
      <c r="R282" s="1">
        <v>99895.542143999992</v>
      </c>
      <c r="S282" s="1">
        <v>30344552919.030846</v>
      </c>
      <c r="T282" s="1">
        <v>5664.5047999999997</v>
      </c>
      <c r="U282" s="2">
        <v>2006235.4713919999</v>
      </c>
      <c r="V282" s="2">
        <v>50308.286479999995</v>
      </c>
      <c r="W282" s="1">
        <v>7.38</v>
      </c>
      <c r="X282" s="2">
        <v>120936.53231999998</v>
      </c>
      <c r="Y282" s="2">
        <v>43.18</v>
      </c>
      <c r="Z282" s="2">
        <v>148.33599999999998</v>
      </c>
      <c r="AA282" s="2">
        <v>749.3</v>
      </c>
      <c r="AB282" s="2">
        <v>901.69999999999993</v>
      </c>
      <c r="AC282" s="2">
        <v>467.35999999999996</v>
      </c>
      <c r="AD282" s="2">
        <v>619.75999999999988</v>
      </c>
      <c r="AE282" s="2">
        <v>114.3</v>
      </c>
      <c r="AF282" s="2">
        <v>88.899999999999991</v>
      </c>
      <c r="AG282" s="2"/>
    </row>
    <row r="283" spans="1:33" x14ac:dyDescent="0.25">
      <c r="A283" s="1" t="s">
        <v>283</v>
      </c>
      <c r="B283" s="1">
        <v>22.3224591</v>
      </c>
      <c r="C283" s="1">
        <v>2858.0587999999998</v>
      </c>
      <c r="D283" s="2">
        <v>152.14599999999999</v>
      </c>
      <c r="E283" s="2">
        <v>152.14599999999999</v>
      </c>
      <c r="F283" s="2">
        <v>5.8419999999999996</v>
      </c>
      <c r="G283" s="2">
        <v>6.6040000000000001</v>
      </c>
      <c r="H283" s="2">
        <v>12.953999999999999</v>
      </c>
      <c r="I283" s="2">
        <v>14.2875</v>
      </c>
      <c r="J283" s="2">
        <v>12112334.484959999</v>
      </c>
      <c r="K283" s="2">
        <v>176980.29120000001</v>
      </c>
      <c r="L283" s="2">
        <v>159282.26207999999</v>
      </c>
      <c r="M283" s="2">
        <v>65.024000000000001</v>
      </c>
      <c r="N283" s="2">
        <v>3879276.8865919998</v>
      </c>
      <c r="O283" s="1">
        <v>77838.553999999989</v>
      </c>
      <c r="P283" s="2">
        <v>50963.769039999992</v>
      </c>
      <c r="Q283" s="2">
        <v>36.83</v>
      </c>
      <c r="R283" s="1">
        <v>42039.373985599996</v>
      </c>
      <c r="S283" s="1">
        <v>20542993790.317345</v>
      </c>
      <c r="T283" s="1">
        <v>5535.4727999999996</v>
      </c>
      <c r="U283" s="2">
        <v>1390212.9615039998</v>
      </c>
      <c r="V283" s="2">
        <v>35232.187599999997</v>
      </c>
      <c r="W283" s="1">
        <v>5.32</v>
      </c>
      <c r="X283" s="2">
        <v>87179.180479999995</v>
      </c>
      <c r="Y283" s="2">
        <v>42.163999999999994</v>
      </c>
      <c r="Z283" s="2">
        <v>145.542</v>
      </c>
      <c r="AA283" s="2">
        <v>739.14</v>
      </c>
      <c r="AB283" s="2">
        <v>891.54</v>
      </c>
      <c r="AC283" s="2">
        <v>457.2</v>
      </c>
      <c r="AD283" s="2">
        <v>609.59999999999991</v>
      </c>
      <c r="AE283" s="2">
        <v>114.3</v>
      </c>
      <c r="AF283" s="2">
        <v>88.899999999999991</v>
      </c>
      <c r="AG283" s="2"/>
    </row>
    <row r="284" spans="1:33" x14ac:dyDescent="0.25">
      <c r="A284" s="1" t="s">
        <v>284</v>
      </c>
      <c r="B284" s="1">
        <v>23.810623039999999</v>
      </c>
      <c r="C284" s="1">
        <v>3058.0583999999999</v>
      </c>
      <c r="D284" s="2">
        <v>159.512</v>
      </c>
      <c r="E284" s="2">
        <v>102.36199999999999</v>
      </c>
      <c r="F284" s="2">
        <v>6.6040000000000001</v>
      </c>
      <c r="G284" s="2">
        <v>10.287000000000001</v>
      </c>
      <c r="H284" s="2">
        <v>16.637</v>
      </c>
      <c r="I284" s="2">
        <v>14.2875</v>
      </c>
      <c r="J284" s="2">
        <v>13361028.76176</v>
      </c>
      <c r="K284" s="2">
        <v>191728.64879999997</v>
      </c>
      <c r="L284" s="2">
        <v>167148.05279999998</v>
      </c>
      <c r="M284" s="2">
        <v>66.039999999999992</v>
      </c>
      <c r="N284" s="2">
        <v>1843905.2154079997</v>
      </c>
      <c r="O284" s="1">
        <v>55552.146959999998</v>
      </c>
      <c r="P284" s="2">
        <v>36051.540800000002</v>
      </c>
      <c r="Q284" s="2">
        <v>24.561799999999998</v>
      </c>
      <c r="R284" s="1">
        <v>92819.607908799997</v>
      </c>
      <c r="S284" s="1">
        <v>10258070101.831667</v>
      </c>
      <c r="T284" s="1">
        <v>3819.3471999999997</v>
      </c>
      <c r="U284" s="2">
        <v>1007280.0499519999</v>
      </c>
      <c r="V284" s="2">
        <v>36707.023359999999</v>
      </c>
      <c r="W284" s="1">
        <v>5.77</v>
      </c>
      <c r="X284" s="2">
        <v>94553.35927999999</v>
      </c>
      <c r="Y284" s="2">
        <v>28.701999999999995</v>
      </c>
      <c r="Z284" s="2">
        <v>149.35199999999998</v>
      </c>
      <c r="AA284" s="2">
        <v>601.9799999999999</v>
      </c>
      <c r="AB284" s="2">
        <v>703.57999999999993</v>
      </c>
      <c r="AC284" s="2">
        <v>421.64</v>
      </c>
      <c r="AD284" s="2">
        <v>523.24</v>
      </c>
      <c r="AE284" s="2">
        <v>114.3</v>
      </c>
      <c r="AF284" s="2">
        <v>57.15</v>
      </c>
      <c r="AG284" s="2"/>
    </row>
    <row r="285" spans="1:33" x14ac:dyDescent="0.25">
      <c r="A285" s="1" t="s">
        <v>285</v>
      </c>
      <c r="B285" s="1">
        <v>17.85796728</v>
      </c>
      <c r="C285" s="1">
        <v>2290.3179999999998</v>
      </c>
      <c r="D285" s="2">
        <v>153.16200000000001</v>
      </c>
      <c r="E285" s="2">
        <v>101.6</v>
      </c>
      <c r="F285" s="2">
        <v>5.8419999999999996</v>
      </c>
      <c r="G285" s="2">
        <v>7.1120000000000001</v>
      </c>
      <c r="H285" s="2">
        <v>13.462</v>
      </c>
      <c r="I285" s="2">
        <v>14.2875</v>
      </c>
      <c r="J285" s="2">
        <v>9198714.5057599992</v>
      </c>
      <c r="K285" s="2">
        <v>136012.6312</v>
      </c>
      <c r="L285" s="2">
        <v>119789.43783999998</v>
      </c>
      <c r="M285" s="2">
        <v>63.246000000000002</v>
      </c>
      <c r="N285" s="2">
        <v>1244531.962544</v>
      </c>
      <c r="O285" s="1">
        <v>38017.988479999993</v>
      </c>
      <c r="P285" s="2">
        <v>24580.595999999998</v>
      </c>
      <c r="Q285" s="2">
        <v>23.3172</v>
      </c>
      <c r="R285" s="1">
        <v>37585.697731679997</v>
      </c>
      <c r="S285" s="1">
        <v>6632835903.5403709</v>
      </c>
      <c r="T285" s="1">
        <v>3709.6699999999996</v>
      </c>
      <c r="U285" s="2">
        <v>670132.59521599999</v>
      </c>
      <c r="V285" s="2">
        <v>24908.33728</v>
      </c>
      <c r="W285" s="1">
        <v>4.08</v>
      </c>
      <c r="X285" s="2">
        <v>66859.221120000002</v>
      </c>
      <c r="Y285" s="2">
        <v>27.431999999999999</v>
      </c>
      <c r="Z285" s="2">
        <v>146.04999999999998</v>
      </c>
      <c r="AA285" s="2">
        <v>589.28</v>
      </c>
      <c r="AB285" s="2">
        <v>690.88</v>
      </c>
      <c r="AC285" s="2">
        <v>408.94</v>
      </c>
      <c r="AD285" s="2">
        <v>510.54</v>
      </c>
      <c r="AE285" s="2">
        <v>114.3</v>
      </c>
      <c r="AF285" s="2">
        <v>57.15</v>
      </c>
      <c r="AG285" s="2"/>
    </row>
    <row r="286" spans="1:33" x14ac:dyDescent="0.25">
      <c r="A286" s="1" t="s">
        <v>286</v>
      </c>
      <c r="B286" s="1">
        <v>13.393475459999999</v>
      </c>
      <c r="C286" s="1">
        <v>1729.0288</v>
      </c>
      <c r="D286" s="2">
        <v>149.86000000000001</v>
      </c>
      <c r="E286" s="2">
        <v>100.07599999999999</v>
      </c>
      <c r="F286" s="2">
        <v>4.3180000000000005</v>
      </c>
      <c r="G286" s="2">
        <v>5.4609999999999994</v>
      </c>
      <c r="H286" s="2">
        <v>11.811</v>
      </c>
      <c r="I286" s="2">
        <v>12.7</v>
      </c>
      <c r="J286" s="2">
        <v>6826195.3798399987</v>
      </c>
      <c r="K286" s="2">
        <v>102091.40871999999</v>
      </c>
      <c r="L286" s="2">
        <v>91112.07583999999</v>
      </c>
      <c r="M286" s="2">
        <v>62.738</v>
      </c>
      <c r="N286" s="2">
        <v>915709.13631999993</v>
      </c>
      <c r="O286" s="1">
        <v>28185.750079999998</v>
      </c>
      <c r="P286" s="2">
        <v>18189.641039999999</v>
      </c>
      <c r="Q286" s="2">
        <v>22.986999999999998</v>
      </c>
      <c r="R286" s="1">
        <v>16857.3727368</v>
      </c>
      <c r="S286" s="1">
        <v>4753084837.7596989</v>
      </c>
      <c r="T286" s="1">
        <v>3612.8959999999997</v>
      </c>
      <c r="U286" s="2">
        <v>495315.39646399993</v>
      </c>
      <c r="V286" s="2">
        <v>18845.123599999995</v>
      </c>
      <c r="W286" s="1">
        <v>3.04</v>
      </c>
      <c r="X286" s="2">
        <v>49816.674559999999</v>
      </c>
      <c r="Y286" s="2">
        <v>26.923999999999999</v>
      </c>
      <c r="Z286" s="2">
        <v>144.52600000000001</v>
      </c>
      <c r="AA286" s="2">
        <v>581.66</v>
      </c>
      <c r="AB286" s="2">
        <v>680.72</v>
      </c>
      <c r="AC286" s="2">
        <v>398.78</v>
      </c>
      <c r="AD286" s="2">
        <v>500.37999999999994</v>
      </c>
      <c r="AE286" s="2">
        <v>114.3</v>
      </c>
      <c r="AF286" s="2">
        <v>57.15</v>
      </c>
      <c r="AG286" s="2"/>
    </row>
    <row r="287" spans="1:33" x14ac:dyDescent="0.25">
      <c r="A287" s="1" t="s">
        <v>287</v>
      </c>
      <c r="B287" s="1">
        <v>12.64939349</v>
      </c>
      <c r="C287" s="1">
        <v>1625.8031999999998</v>
      </c>
      <c r="D287" s="2">
        <v>148.08199999999999</v>
      </c>
      <c r="E287" s="2">
        <v>100.07599999999999</v>
      </c>
      <c r="F287" s="2">
        <v>4.3180000000000005</v>
      </c>
      <c r="G287" s="2">
        <v>4.9530000000000003</v>
      </c>
      <c r="H287" s="2">
        <v>11.302999999999999</v>
      </c>
      <c r="I287" s="2">
        <v>12.7</v>
      </c>
      <c r="J287" s="2">
        <v>6201848.2414399991</v>
      </c>
      <c r="K287" s="2">
        <v>93897.87672</v>
      </c>
      <c r="L287" s="2">
        <v>83574.026399999988</v>
      </c>
      <c r="M287" s="2">
        <v>61.722000000000001</v>
      </c>
      <c r="N287" s="2">
        <v>828300.53694399993</v>
      </c>
      <c r="O287" s="1">
        <v>25563.81984</v>
      </c>
      <c r="P287" s="2">
        <v>16550.934639999999</v>
      </c>
      <c r="Q287" s="2">
        <v>22.605999999999998</v>
      </c>
      <c r="R287" s="1">
        <v>13860.50647248</v>
      </c>
      <c r="S287" s="1">
        <v>4242866691.3335166</v>
      </c>
      <c r="T287" s="1">
        <v>3580.6379999999999</v>
      </c>
      <c r="U287" s="2">
        <v>441205.31113599997</v>
      </c>
      <c r="V287" s="2">
        <v>16878.675919999998</v>
      </c>
      <c r="W287" s="1">
        <v>2.78</v>
      </c>
      <c r="X287" s="2">
        <v>45556.037919999995</v>
      </c>
      <c r="Y287" s="2">
        <v>26.669999999999998</v>
      </c>
      <c r="Z287" s="2">
        <v>143.25599999999997</v>
      </c>
      <c r="AA287" s="2">
        <v>579.12</v>
      </c>
      <c r="AB287" s="2">
        <v>678.18</v>
      </c>
      <c r="AC287" s="2">
        <v>396.23999999999995</v>
      </c>
      <c r="AD287" s="2">
        <v>495.29999999999995</v>
      </c>
      <c r="AE287" s="2">
        <v>114.3</v>
      </c>
      <c r="AF287" s="2">
        <v>57.15</v>
      </c>
      <c r="AG287" s="2"/>
    </row>
    <row r="288" spans="1:33" x14ac:dyDescent="0.25">
      <c r="A288" s="1" t="s">
        <v>288</v>
      </c>
      <c r="B288" s="1">
        <v>28.275114859999999</v>
      </c>
      <c r="C288" s="1">
        <v>3587.0895999999998</v>
      </c>
      <c r="D288" s="2">
        <v>130.81</v>
      </c>
      <c r="E288" s="2">
        <v>127.762</v>
      </c>
      <c r="F288" s="2">
        <v>6.8579999999999997</v>
      </c>
      <c r="G288" s="2">
        <v>10.921999999999999</v>
      </c>
      <c r="H288" s="2">
        <v>18.541999999999998</v>
      </c>
      <c r="I288" s="2">
        <v>11.112499999999999</v>
      </c>
      <c r="J288" s="2">
        <v>10946886.493279999</v>
      </c>
      <c r="K288" s="2">
        <v>190089.94239999997</v>
      </c>
      <c r="L288" s="2">
        <v>167148.05279999998</v>
      </c>
      <c r="M288" s="2">
        <v>55.117999999999995</v>
      </c>
      <c r="N288" s="2">
        <v>3800192.915728</v>
      </c>
      <c r="O288" s="1">
        <v>90620.463919999995</v>
      </c>
      <c r="P288" s="2">
        <v>59485.042319999993</v>
      </c>
      <c r="Q288" s="2">
        <v>32.512</v>
      </c>
      <c r="R288" s="1">
        <v>131529.13048959998</v>
      </c>
      <c r="S288" s="1">
        <v>13668475606.890884</v>
      </c>
      <c r="T288" s="1">
        <v>3832.2503999999999</v>
      </c>
      <c r="U288" s="2">
        <v>1336102.8761759999</v>
      </c>
      <c r="V288" s="2">
        <v>39656.694879999995</v>
      </c>
      <c r="W288" s="1">
        <v>5.73</v>
      </c>
      <c r="X288" s="2">
        <v>93897.87672</v>
      </c>
      <c r="Y288" s="2">
        <v>36.83</v>
      </c>
      <c r="Z288" s="2">
        <v>119.88799999999999</v>
      </c>
      <c r="AA288" s="2">
        <v>619.75999999999988</v>
      </c>
      <c r="AB288" s="2">
        <v>746.75999999999988</v>
      </c>
      <c r="AC288" s="2">
        <v>388.62</v>
      </c>
      <c r="AD288" s="2">
        <v>518.16</v>
      </c>
      <c r="AE288" s="2">
        <v>88.899999999999991</v>
      </c>
      <c r="AF288" s="2">
        <v>69.849999999999994</v>
      </c>
      <c r="AG288" s="2"/>
    </row>
    <row r="289" spans="1:33" x14ac:dyDescent="0.25">
      <c r="A289" s="1" t="s">
        <v>289</v>
      </c>
      <c r="B289" s="1">
        <v>23.810623039999999</v>
      </c>
      <c r="C289" s="1">
        <v>3038.7035999999998</v>
      </c>
      <c r="D289" s="2">
        <v>127.25399999999999</v>
      </c>
      <c r="E289" s="2">
        <v>127</v>
      </c>
      <c r="F289" s="2">
        <v>6.0959999999999992</v>
      </c>
      <c r="G289" s="2">
        <v>9.1439999999999984</v>
      </c>
      <c r="H289" s="2">
        <v>16.763999999999999</v>
      </c>
      <c r="I289" s="2">
        <v>11.112499999999999</v>
      </c>
      <c r="J289" s="2">
        <v>8907352.5078399982</v>
      </c>
      <c r="K289" s="2">
        <v>157807.42632</v>
      </c>
      <c r="L289" s="2">
        <v>140109.39720000001</v>
      </c>
      <c r="M289" s="2">
        <v>54.101999999999997</v>
      </c>
      <c r="N289" s="2">
        <v>3125898.0062559997</v>
      </c>
      <c r="O289" s="1">
        <v>75052.753119999994</v>
      </c>
      <c r="P289" s="2">
        <v>49161.191999999995</v>
      </c>
      <c r="Q289" s="2">
        <v>32.003999999999998</v>
      </c>
      <c r="R289" s="1">
        <v>79916.433715199993</v>
      </c>
      <c r="S289" s="1">
        <v>10902556181.527897</v>
      </c>
      <c r="T289" s="1">
        <v>3748.3795999999998</v>
      </c>
      <c r="U289" s="2">
        <v>1090526.335072</v>
      </c>
      <c r="V289" s="2">
        <v>32610.257359999996</v>
      </c>
      <c r="W289" s="1">
        <v>4.74</v>
      </c>
      <c r="X289" s="2">
        <v>77674.683359999995</v>
      </c>
      <c r="Y289" s="2">
        <v>36.321999999999996</v>
      </c>
      <c r="Z289" s="2">
        <v>118.11</v>
      </c>
      <c r="AA289" s="2">
        <v>609.59999999999991</v>
      </c>
      <c r="AB289" s="2">
        <v>736.59999999999991</v>
      </c>
      <c r="AC289" s="2">
        <v>381</v>
      </c>
      <c r="AD289" s="2">
        <v>508</v>
      </c>
      <c r="AE289" s="2">
        <v>88.899999999999991</v>
      </c>
      <c r="AF289" s="2">
        <v>69.849999999999994</v>
      </c>
      <c r="AG289" s="2"/>
    </row>
    <row r="290" spans="1:33" x14ac:dyDescent="0.25">
      <c r="A290" s="1" t="s">
        <v>290</v>
      </c>
      <c r="B290" s="1">
        <v>19.34613122</v>
      </c>
      <c r="C290" s="1">
        <v>2470.9627999999998</v>
      </c>
      <c r="D290" s="2">
        <v>105.664</v>
      </c>
      <c r="E290" s="2">
        <v>103.12399999999998</v>
      </c>
      <c r="F290" s="2">
        <v>7.1120000000000001</v>
      </c>
      <c r="G290" s="2">
        <v>8.7629999999999981</v>
      </c>
      <c r="H290" s="2">
        <v>15.112999999999998</v>
      </c>
      <c r="I290" s="2">
        <v>12.7</v>
      </c>
      <c r="J290" s="2">
        <v>4703415.1092799995</v>
      </c>
      <c r="K290" s="2">
        <v>102910.76191999999</v>
      </c>
      <c r="L290" s="2">
        <v>89473.369439999995</v>
      </c>
      <c r="M290" s="2">
        <v>43.687999999999995</v>
      </c>
      <c r="N290" s="2">
        <v>1606653.3028159998</v>
      </c>
      <c r="O290" s="1">
        <v>47850.226879999995</v>
      </c>
      <c r="P290" s="2">
        <v>31135.421599999994</v>
      </c>
      <c r="Q290" s="2">
        <v>25.4</v>
      </c>
      <c r="R290" s="1">
        <v>62850.945265599992</v>
      </c>
      <c r="S290" s="1">
        <v>3759502131.5613437</v>
      </c>
      <c r="T290" s="1">
        <v>2496.7691999999997</v>
      </c>
      <c r="U290" s="2">
        <v>566074.73881599994</v>
      </c>
      <c r="V290" s="2">
        <v>20319.959359999997</v>
      </c>
      <c r="W290" s="1">
        <v>3.09</v>
      </c>
      <c r="X290" s="2">
        <v>50636.02775999999</v>
      </c>
      <c r="Y290" s="2">
        <v>29.463999999999995</v>
      </c>
      <c r="Z290" s="2">
        <v>97.027999999999992</v>
      </c>
      <c r="AA290" s="2">
        <v>495.29999999999995</v>
      </c>
      <c r="AB290" s="2">
        <v>599.44000000000005</v>
      </c>
      <c r="AC290" s="2">
        <v>314.95999999999998</v>
      </c>
      <c r="AD290" s="2">
        <v>416.55999999999995</v>
      </c>
      <c r="AE290" s="2">
        <v>66.674999999999997</v>
      </c>
      <c r="AF290" s="2">
        <v>57.15</v>
      </c>
      <c r="AG290" s="2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286CD-AAE3-406D-B13C-3050B08A0730}">
  <dimension ref="A1:X640"/>
  <sheetViews>
    <sheetView tabSelected="1" workbookViewId="0">
      <selection activeCell="E11" sqref="E11"/>
    </sheetView>
  </sheetViews>
  <sheetFormatPr baseColWidth="10" defaultColWidth="8.7109375" defaultRowHeight="15" x14ac:dyDescent="0.25"/>
  <cols>
    <col min="1" max="1" width="30" style="7" bestFit="1" customWidth="1"/>
    <col min="2" max="2" width="10.85546875" style="7" bestFit="1" customWidth="1"/>
    <col min="3" max="3" width="10.5703125" style="7" bestFit="1" customWidth="1"/>
    <col min="4" max="5" width="13" style="7" bestFit="1" customWidth="1"/>
    <col min="6" max="6" width="12.7109375" style="7" bestFit="1" customWidth="1"/>
    <col min="7" max="8" width="12.7109375" style="7" customWidth="1"/>
    <col min="9" max="11" width="8.7109375" style="7"/>
    <col min="12" max="12" width="11.85546875" style="7" bestFit="1" customWidth="1"/>
    <col min="13" max="15" width="8.7109375" style="7"/>
    <col min="16" max="16" width="11.85546875" style="7" bestFit="1" customWidth="1"/>
    <col min="17" max="17" width="10.85546875" style="7" bestFit="1" customWidth="1"/>
    <col min="18" max="18" width="9.85546875" style="7" bestFit="1" customWidth="1"/>
    <col min="19" max="19" width="8.7109375" style="7"/>
    <col min="20" max="20" width="9.85546875" style="7" bestFit="1" customWidth="1"/>
    <col min="21" max="21" width="11.85546875" style="7" bestFit="1" customWidth="1"/>
    <col min="22" max="22" width="9.5703125" style="7" bestFit="1" customWidth="1"/>
    <col min="23" max="16384" width="8.7109375" style="7"/>
  </cols>
  <sheetData>
    <row r="1" spans="1:24" ht="30" x14ac:dyDescent="0.25">
      <c r="A1" s="8" t="s">
        <v>0</v>
      </c>
      <c r="B1" s="8" t="s">
        <v>291</v>
      </c>
      <c r="C1" s="8" t="s">
        <v>292</v>
      </c>
      <c r="D1" s="8" t="s">
        <v>965</v>
      </c>
      <c r="E1" s="8" t="s">
        <v>966</v>
      </c>
      <c r="F1" s="8" t="s">
        <v>967</v>
      </c>
      <c r="G1" s="9" t="s">
        <v>968</v>
      </c>
      <c r="H1" s="9" t="s">
        <v>969</v>
      </c>
      <c r="I1" s="9" t="s">
        <v>972</v>
      </c>
      <c r="J1" s="9" t="s">
        <v>973</v>
      </c>
      <c r="K1" s="8" t="s">
        <v>322</v>
      </c>
      <c r="L1" s="8" t="s">
        <v>299</v>
      </c>
      <c r="M1" s="8" t="s">
        <v>323</v>
      </c>
      <c r="N1" s="8" t="s">
        <v>324</v>
      </c>
      <c r="O1" s="8" t="s">
        <v>302</v>
      </c>
      <c r="P1" s="8" t="s">
        <v>303</v>
      </c>
      <c r="Q1" s="8" t="s">
        <v>304</v>
      </c>
      <c r="R1" s="8" t="s">
        <v>305</v>
      </c>
      <c r="S1" s="8" t="s">
        <v>306</v>
      </c>
      <c r="T1" s="8" t="s">
        <v>307</v>
      </c>
      <c r="U1" s="8" t="s">
        <v>308</v>
      </c>
      <c r="V1" s="8" t="s">
        <v>974</v>
      </c>
      <c r="W1" s="8" t="s">
        <v>971</v>
      </c>
      <c r="X1" s="8" t="s">
        <v>325</v>
      </c>
    </row>
    <row r="2" spans="1:24" x14ac:dyDescent="0.25">
      <c r="A2" s="5" t="s">
        <v>326</v>
      </c>
      <c r="B2" s="5">
        <v>312.51442739999999</v>
      </c>
      <c r="C2" s="5">
        <v>40128.951999999997</v>
      </c>
      <c r="D2" s="6">
        <v>304.79999999999995</v>
      </c>
      <c r="E2" s="6">
        <v>304.79999999999995</v>
      </c>
      <c r="F2" s="5">
        <v>35.051999999999992</v>
      </c>
      <c r="G2" s="5">
        <v>1</v>
      </c>
      <c r="H2" s="6" t="s">
        <v>976</v>
      </c>
      <c r="I2" s="5">
        <v>88.899999999999991</v>
      </c>
      <c r="J2" s="5">
        <v>0</v>
      </c>
      <c r="K2" s="5">
        <v>1.3</v>
      </c>
      <c r="L2" s="5">
        <v>343807157.54559994</v>
      </c>
      <c r="M2" s="5">
        <v>176</v>
      </c>
      <c r="N2" s="5">
        <v>97.2</v>
      </c>
      <c r="O2" s="5">
        <v>92.456000000000003</v>
      </c>
      <c r="P2" s="5">
        <v>661807966.70399988</v>
      </c>
      <c r="Q2" s="5">
        <v>3572379.9519999996</v>
      </c>
      <c r="R2" s="5">
        <v>2179479.5119999996</v>
      </c>
      <c r="S2" s="5">
        <v>128.52399999999997</v>
      </c>
      <c r="T2" s="5">
        <v>1</v>
      </c>
      <c r="U2" s="5">
        <v>1</v>
      </c>
      <c r="V2" s="5">
        <v>1</v>
      </c>
      <c r="W2" s="5">
        <v>173.73599999999999</v>
      </c>
      <c r="X2" s="5">
        <v>0.83099999999999996</v>
      </c>
    </row>
    <row r="3" spans="1:24" x14ac:dyDescent="0.25">
      <c r="A3" s="5" t="s">
        <v>327</v>
      </c>
      <c r="B3" s="5">
        <v>312.51442739999999</v>
      </c>
      <c r="C3" s="5">
        <v>40128.951999999997</v>
      </c>
      <c r="D3" s="6">
        <v>304.79999999999995</v>
      </c>
      <c r="E3" s="6">
        <v>304.79999999999995</v>
      </c>
      <c r="F3" s="5">
        <v>35.051999999999992</v>
      </c>
      <c r="G3" s="5">
        <f>G2</f>
        <v>1</v>
      </c>
      <c r="H3" s="6" t="str">
        <f>H2</f>
        <v>BB</v>
      </c>
      <c r="I3" s="5">
        <v>88.899999999999991</v>
      </c>
      <c r="J3" s="5">
        <f>J2</f>
        <v>0</v>
      </c>
      <c r="K3" s="5">
        <v>1.3</v>
      </c>
      <c r="L3" s="5">
        <v>343807157.54559994</v>
      </c>
      <c r="M3" s="5">
        <v>176</v>
      </c>
      <c r="N3" s="5">
        <v>97.2</v>
      </c>
      <c r="O3" s="5">
        <v>92.456000000000003</v>
      </c>
      <c r="P3" s="5">
        <v>732567309.05599988</v>
      </c>
      <c r="Q3" s="5">
        <v>3949282.4239999996</v>
      </c>
      <c r="R3" s="5">
        <v>2326963.088</v>
      </c>
      <c r="S3" s="5">
        <v>135.12799999999999</v>
      </c>
      <c r="T3" s="5">
        <f>T2</f>
        <v>1</v>
      </c>
      <c r="U3" s="5">
        <f t="shared" ref="U3:V3" si="0">U2</f>
        <v>1</v>
      </c>
      <c r="V3" s="5">
        <f t="shared" si="0"/>
        <v>1</v>
      </c>
      <c r="W3" s="5">
        <v>178.56199999999998</v>
      </c>
      <c r="X3" s="5">
        <v>0.84</v>
      </c>
    </row>
    <row r="4" spans="1:24" x14ac:dyDescent="0.25">
      <c r="A4" s="5" t="s">
        <v>328</v>
      </c>
      <c r="B4" s="5">
        <v>312.51442739999999</v>
      </c>
      <c r="C4" s="5">
        <v>40128.951999999997</v>
      </c>
      <c r="D4" s="6">
        <v>304.79999999999995</v>
      </c>
      <c r="E4" s="6">
        <v>304.79999999999995</v>
      </c>
      <c r="F4" s="5">
        <v>35.051999999999992</v>
      </c>
      <c r="G4" s="5">
        <f t="shared" ref="G4:G67" si="1">G3</f>
        <v>1</v>
      </c>
      <c r="H4" s="6" t="str">
        <f t="shared" ref="H4:H67" si="2">H3</f>
        <v>BB</v>
      </c>
      <c r="I4" s="5">
        <v>88.899999999999991</v>
      </c>
      <c r="J4" s="5">
        <f t="shared" ref="J4:J67" si="3">J3</f>
        <v>0</v>
      </c>
      <c r="K4" s="5">
        <v>1.3</v>
      </c>
      <c r="L4" s="5">
        <v>343807157.54559994</v>
      </c>
      <c r="M4" s="5">
        <v>176</v>
      </c>
      <c r="N4" s="5">
        <v>97.2</v>
      </c>
      <c r="O4" s="5">
        <v>92.456000000000003</v>
      </c>
      <c r="P4" s="5">
        <v>811651279.91999996</v>
      </c>
      <c r="Q4" s="5">
        <v>4326184.8959999997</v>
      </c>
      <c r="R4" s="5">
        <v>2507220.7919999999</v>
      </c>
      <c r="S4" s="5">
        <v>142.23999999999998</v>
      </c>
      <c r="T4" s="5">
        <f t="shared" ref="T4:T67" si="4">T3</f>
        <v>1</v>
      </c>
      <c r="U4" s="5">
        <f t="shared" ref="U4:U67" si="5">U3</f>
        <v>1</v>
      </c>
      <c r="V4" s="5">
        <f t="shared" ref="V4:V67" si="6">V3</f>
        <v>1</v>
      </c>
      <c r="W4" s="5">
        <v>184.14999999999998</v>
      </c>
      <c r="X4" s="5">
        <v>0.85</v>
      </c>
    </row>
    <row r="5" spans="1:24" x14ac:dyDescent="0.25">
      <c r="A5" s="5" t="s">
        <v>329</v>
      </c>
      <c r="B5" s="5">
        <v>287.21564042</v>
      </c>
      <c r="C5" s="5">
        <v>36645.087999999996</v>
      </c>
      <c r="D5" s="6">
        <v>304.79999999999995</v>
      </c>
      <c r="E5" s="6">
        <v>304.79999999999995</v>
      </c>
      <c r="F5" s="5">
        <v>31.75</v>
      </c>
      <c r="G5" s="5">
        <f t="shared" si="1"/>
        <v>1</v>
      </c>
      <c r="H5" s="6" t="str">
        <f t="shared" si="2"/>
        <v>BB</v>
      </c>
      <c r="I5" s="5">
        <v>87.63</v>
      </c>
      <c r="J5" s="5">
        <f t="shared" si="3"/>
        <v>0</v>
      </c>
      <c r="K5" s="5">
        <v>1.18</v>
      </c>
      <c r="L5" s="5">
        <v>317168346.30719995</v>
      </c>
      <c r="M5" s="5">
        <v>161</v>
      </c>
      <c r="N5" s="5">
        <v>89.2</v>
      </c>
      <c r="O5" s="5">
        <v>92.963999999999999</v>
      </c>
      <c r="P5" s="5">
        <v>599373252.86399996</v>
      </c>
      <c r="Q5" s="5">
        <v>3211864.5439999998</v>
      </c>
      <c r="R5" s="5">
        <v>1966447.6799999997</v>
      </c>
      <c r="S5" s="5">
        <v>128.01599999999999</v>
      </c>
      <c r="T5" s="5">
        <f t="shared" si="4"/>
        <v>1</v>
      </c>
      <c r="U5" s="5">
        <f t="shared" si="5"/>
        <v>1</v>
      </c>
      <c r="V5" s="5">
        <f t="shared" si="6"/>
        <v>1</v>
      </c>
      <c r="W5" s="5">
        <v>173.73599999999999</v>
      </c>
      <c r="X5" s="5">
        <v>0.82899999999999996</v>
      </c>
    </row>
    <row r="6" spans="1:24" x14ac:dyDescent="0.25">
      <c r="A6" s="5" t="s">
        <v>330</v>
      </c>
      <c r="B6" s="5">
        <v>287.21564042</v>
      </c>
      <c r="C6" s="5">
        <v>36645.087999999996</v>
      </c>
      <c r="D6" s="6">
        <v>304.79999999999995</v>
      </c>
      <c r="E6" s="6">
        <v>304.79999999999995</v>
      </c>
      <c r="F6" s="5">
        <v>31.75</v>
      </c>
      <c r="G6" s="5">
        <f t="shared" si="1"/>
        <v>1</v>
      </c>
      <c r="H6" s="6" t="str">
        <f t="shared" si="2"/>
        <v>BB</v>
      </c>
      <c r="I6" s="5">
        <v>87.63</v>
      </c>
      <c r="J6" s="5">
        <f t="shared" si="3"/>
        <v>0</v>
      </c>
      <c r="K6" s="5">
        <v>1.18</v>
      </c>
      <c r="L6" s="5">
        <v>317168346.30719995</v>
      </c>
      <c r="M6" s="5">
        <v>161</v>
      </c>
      <c r="N6" s="5">
        <v>89.2</v>
      </c>
      <c r="O6" s="5">
        <v>92.963999999999999</v>
      </c>
      <c r="P6" s="5">
        <v>661807966.70399988</v>
      </c>
      <c r="Q6" s="5">
        <v>3555992.8879999998</v>
      </c>
      <c r="R6" s="5">
        <v>2097544.1919999998</v>
      </c>
      <c r="S6" s="5">
        <v>134.36599999999999</v>
      </c>
      <c r="T6" s="5">
        <f t="shared" si="4"/>
        <v>1</v>
      </c>
      <c r="U6" s="5">
        <f t="shared" si="5"/>
        <v>1</v>
      </c>
      <c r="V6" s="5">
        <f t="shared" si="6"/>
        <v>1</v>
      </c>
      <c r="W6" s="5">
        <v>178.56199999999998</v>
      </c>
      <c r="X6" s="5">
        <v>0.83899999999999997</v>
      </c>
    </row>
    <row r="7" spans="1:24" x14ac:dyDescent="0.25">
      <c r="A7" s="5" t="s">
        <v>331</v>
      </c>
      <c r="B7" s="5">
        <v>287.21564042</v>
      </c>
      <c r="C7" s="5">
        <v>36645.087999999996</v>
      </c>
      <c r="D7" s="6">
        <v>304.79999999999995</v>
      </c>
      <c r="E7" s="6">
        <v>304.79999999999995</v>
      </c>
      <c r="F7" s="5">
        <v>31.75</v>
      </c>
      <c r="G7" s="5">
        <f t="shared" si="1"/>
        <v>1</v>
      </c>
      <c r="H7" s="6" t="str">
        <f t="shared" si="2"/>
        <v>BB</v>
      </c>
      <c r="I7" s="5">
        <v>87.63</v>
      </c>
      <c r="J7" s="5">
        <f t="shared" si="3"/>
        <v>0</v>
      </c>
      <c r="K7" s="5">
        <v>1.18</v>
      </c>
      <c r="L7" s="5">
        <v>317168346.30719995</v>
      </c>
      <c r="M7" s="5">
        <v>161</v>
      </c>
      <c r="N7" s="5">
        <v>89.2</v>
      </c>
      <c r="O7" s="5">
        <v>92.963999999999999</v>
      </c>
      <c r="P7" s="5">
        <v>732567309.05599988</v>
      </c>
      <c r="Q7" s="5">
        <v>3916508.2959999996</v>
      </c>
      <c r="R7" s="5">
        <v>2261414.8319999999</v>
      </c>
      <c r="S7" s="5">
        <v>141.47800000000001</v>
      </c>
      <c r="T7" s="5">
        <f t="shared" si="4"/>
        <v>1</v>
      </c>
      <c r="U7" s="5">
        <f t="shared" si="5"/>
        <v>1</v>
      </c>
      <c r="V7" s="5">
        <f t="shared" si="6"/>
        <v>1</v>
      </c>
      <c r="W7" s="5">
        <v>183.89599999999999</v>
      </c>
      <c r="X7" s="5">
        <v>0.84799999999999998</v>
      </c>
    </row>
    <row r="8" spans="1:24" x14ac:dyDescent="0.25">
      <c r="A8" s="5" t="s">
        <v>332</v>
      </c>
      <c r="B8" s="5">
        <v>258.94052555999997</v>
      </c>
      <c r="C8" s="5">
        <v>33290.256000000001</v>
      </c>
      <c r="D8" s="6">
        <v>304.79999999999995</v>
      </c>
      <c r="E8" s="6">
        <v>304.79999999999995</v>
      </c>
      <c r="F8" s="5">
        <v>28.701999999999995</v>
      </c>
      <c r="G8" s="5">
        <f t="shared" si="1"/>
        <v>1</v>
      </c>
      <c r="H8" s="6" t="str">
        <f t="shared" si="2"/>
        <v>BB</v>
      </c>
      <c r="I8" s="5">
        <v>86.614000000000004</v>
      </c>
      <c r="J8" s="5">
        <f t="shared" si="3"/>
        <v>0</v>
      </c>
      <c r="K8" s="5">
        <v>1.08</v>
      </c>
      <c r="L8" s="5">
        <v>291361997.91999996</v>
      </c>
      <c r="M8" s="5">
        <v>147</v>
      </c>
      <c r="N8" s="5">
        <v>81.400000000000006</v>
      </c>
      <c r="O8" s="5">
        <v>93.471999999999994</v>
      </c>
      <c r="P8" s="5">
        <v>541100853.27999997</v>
      </c>
      <c r="Q8" s="5">
        <v>2884123.2639999995</v>
      </c>
      <c r="R8" s="5">
        <v>1769802.9119999998</v>
      </c>
      <c r="S8" s="5">
        <v>127.50799999999998</v>
      </c>
      <c r="T8" s="5">
        <f t="shared" si="4"/>
        <v>1</v>
      </c>
      <c r="U8" s="5">
        <f t="shared" si="5"/>
        <v>1</v>
      </c>
      <c r="V8" s="5">
        <f t="shared" si="6"/>
        <v>1</v>
      </c>
      <c r="W8" s="5">
        <v>173.98999999999998</v>
      </c>
      <c r="X8" s="5">
        <v>0.82699999999999996</v>
      </c>
    </row>
    <row r="9" spans="1:24" x14ac:dyDescent="0.25">
      <c r="A9" s="5" t="s">
        <v>333</v>
      </c>
      <c r="B9" s="5">
        <v>258.94052555999997</v>
      </c>
      <c r="C9" s="5">
        <v>33290.256000000001</v>
      </c>
      <c r="D9" s="6">
        <v>304.79999999999995</v>
      </c>
      <c r="E9" s="6">
        <v>304.79999999999995</v>
      </c>
      <c r="F9" s="5">
        <v>28.701999999999995</v>
      </c>
      <c r="G9" s="5">
        <f t="shared" si="1"/>
        <v>1</v>
      </c>
      <c r="H9" s="6" t="str">
        <f t="shared" si="2"/>
        <v>BB</v>
      </c>
      <c r="I9" s="5">
        <v>86.614000000000004</v>
      </c>
      <c r="J9" s="5">
        <f t="shared" si="3"/>
        <v>0</v>
      </c>
      <c r="K9" s="5">
        <v>1.08</v>
      </c>
      <c r="L9" s="5">
        <v>291361997.91999996</v>
      </c>
      <c r="M9" s="5">
        <v>147</v>
      </c>
      <c r="N9" s="5">
        <v>81.400000000000006</v>
      </c>
      <c r="O9" s="5">
        <v>93.471999999999994</v>
      </c>
      <c r="P9" s="5">
        <v>599373252.86399996</v>
      </c>
      <c r="Q9" s="5">
        <v>3195477.4799999995</v>
      </c>
      <c r="R9" s="5">
        <v>1900899.4239999999</v>
      </c>
      <c r="S9" s="5">
        <v>134.11199999999999</v>
      </c>
      <c r="T9" s="5">
        <f t="shared" si="4"/>
        <v>1</v>
      </c>
      <c r="U9" s="5">
        <f t="shared" si="5"/>
        <v>1</v>
      </c>
      <c r="V9" s="5">
        <f t="shared" si="6"/>
        <v>1</v>
      </c>
      <c r="W9" s="5">
        <v>178.816</v>
      </c>
      <c r="X9" s="5">
        <v>0.83699999999999997</v>
      </c>
    </row>
    <row r="10" spans="1:24" x14ac:dyDescent="0.25">
      <c r="A10" s="5" t="s">
        <v>334</v>
      </c>
      <c r="B10" s="5">
        <v>258.94052555999997</v>
      </c>
      <c r="C10" s="5">
        <v>33290.256000000001</v>
      </c>
      <c r="D10" s="6">
        <v>304.79999999999995</v>
      </c>
      <c r="E10" s="6">
        <v>304.79999999999995</v>
      </c>
      <c r="F10" s="5">
        <v>28.701999999999995</v>
      </c>
      <c r="G10" s="5">
        <f t="shared" si="1"/>
        <v>1</v>
      </c>
      <c r="H10" s="6" t="str">
        <f t="shared" si="2"/>
        <v>BB</v>
      </c>
      <c r="I10" s="5">
        <v>86.614000000000004</v>
      </c>
      <c r="J10" s="5">
        <f t="shared" si="3"/>
        <v>0</v>
      </c>
      <c r="K10" s="5">
        <v>1.08</v>
      </c>
      <c r="L10" s="5">
        <v>291361997.91999996</v>
      </c>
      <c r="M10" s="5">
        <v>147</v>
      </c>
      <c r="N10" s="5">
        <v>81.400000000000006</v>
      </c>
      <c r="O10" s="5">
        <v>93.471999999999994</v>
      </c>
      <c r="P10" s="5">
        <v>661807966.70399988</v>
      </c>
      <c r="Q10" s="5">
        <v>3523218.76</v>
      </c>
      <c r="R10" s="5">
        <v>2048382.9999999998</v>
      </c>
      <c r="S10" s="5">
        <v>140.97</v>
      </c>
      <c r="T10" s="5">
        <f t="shared" si="4"/>
        <v>1</v>
      </c>
      <c r="U10" s="5">
        <f t="shared" si="5"/>
        <v>1</v>
      </c>
      <c r="V10" s="5">
        <f t="shared" si="6"/>
        <v>1</v>
      </c>
      <c r="W10" s="5">
        <v>183.89599999999999</v>
      </c>
      <c r="X10" s="5">
        <v>0.84599999999999997</v>
      </c>
    </row>
    <row r="11" spans="1:24" x14ac:dyDescent="0.25">
      <c r="A11" s="5" t="s">
        <v>335</v>
      </c>
      <c r="B11" s="5">
        <v>232.15357463999999</v>
      </c>
      <c r="C11" s="5">
        <v>29677.359999999997</v>
      </c>
      <c r="D11" s="6">
        <v>304.79999999999995</v>
      </c>
      <c r="E11" s="6">
        <v>304.79999999999995</v>
      </c>
      <c r="F11" s="5">
        <v>25.4</v>
      </c>
      <c r="G11" s="5">
        <f t="shared" si="1"/>
        <v>1</v>
      </c>
      <c r="H11" s="6" t="str">
        <f t="shared" si="2"/>
        <v>BB</v>
      </c>
      <c r="I11" s="5">
        <v>85.343999999999994</v>
      </c>
      <c r="J11" s="5">
        <f t="shared" si="3"/>
        <v>0</v>
      </c>
      <c r="K11" s="5">
        <v>0.95799999999999996</v>
      </c>
      <c r="L11" s="5">
        <v>262225798.12799996</v>
      </c>
      <c r="M11" s="5">
        <v>132</v>
      </c>
      <c r="N11" s="5">
        <v>73</v>
      </c>
      <c r="O11" s="5">
        <v>93.98</v>
      </c>
      <c r="P11" s="5">
        <v>478666139.43999994</v>
      </c>
      <c r="Q11" s="5">
        <v>2539994.92</v>
      </c>
      <c r="R11" s="5">
        <v>1569880.7311999998</v>
      </c>
      <c r="S11" s="5">
        <v>127</v>
      </c>
      <c r="T11" s="5">
        <f t="shared" si="4"/>
        <v>1</v>
      </c>
      <c r="U11" s="5">
        <f t="shared" si="5"/>
        <v>1</v>
      </c>
      <c r="V11" s="5">
        <f t="shared" si="6"/>
        <v>1</v>
      </c>
      <c r="W11" s="5">
        <v>173.98999999999998</v>
      </c>
      <c r="X11" s="5">
        <v>0.82599999999999996</v>
      </c>
    </row>
    <row r="12" spans="1:24" x14ac:dyDescent="0.25">
      <c r="A12" s="5" t="s">
        <v>336</v>
      </c>
      <c r="B12" s="5">
        <v>232.15357463999999</v>
      </c>
      <c r="C12" s="5">
        <v>29677.359999999997</v>
      </c>
      <c r="D12" s="6">
        <v>304.79999999999995</v>
      </c>
      <c r="E12" s="6">
        <v>304.79999999999995</v>
      </c>
      <c r="F12" s="5">
        <v>25.4</v>
      </c>
      <c r="G12" s="5">
        <f t="shared" si="1"/>
        <v>1</v>
      </c>
      <c r="H12" s="6" t="str">
        <f t="shared" si="2"/>
        <v>BB</v>
      </c>
      <c r="I12" s="5">
        <v>85.343999999999994</v>
      </c>
      <c r="J12" s="5">
        <f t="shared" si="3"/>
        <v>0</v>
      </c>
      <c r="K12" s="5">
        <v>0.95799999999999996</v>
      </c>
      <c r="L12" s="5">
        <v>262225798.12799996</v>
      </c>
      <c r="M12" s="5">
        <v>132</v>
      </c>
      <c r="N12" s="5">
        <v>73</v>
      </c>
      <c r="O12" s="5">
        <v>93.98</v>
      </c>
      <c r="P12" s="5">
        <v>528613910.51199996</v>
      </c>
      <c r="Q12" s="5">
        <v>2818575.0079999999</v>
      </c>
      <c r="R12" s="5">
        <v>1687867.5919999999</v>
      </c>
      <c r="S12" s="5">
        <v>133.35</v>
      </c>
      <c r="T12" s="5">
        <f t="shared" si="4"/>
        <v>1</v>
      </c>
      <c r="U12" s="5">
        <f t="shared" si="5"/>
        <v>1</v>
      </c>
      <c r="V12" s="5">
        <f t="shared" si="6"/>
        <v>1</v>
      </c>
      <c r="W12" s="5">
        <v>178.56199999999998</v>
      </c>
      <c r="X12" s="5">
        <v>0.83399999999999996</v>
      </c>
    </row>
    <row r="13" spans="1:24" x14ac:dyDescent="0.25">
      <c r="A13" s="5" t="s">
        <v>337</v>
      </c>
      <c r="B13" s="5">
        <v>232.15357463999999</v>
      </c>
      <c r="C13" s="5">
        <v>29677.359999999997</v>
      </c>
      <c r="D13" s="6">
        <v>304.79999999999995</v>
      </c>
      <c r="E13" s="6">
        <v>304.79999999999995</v>
      </c>
      <c r="F13" s="5">
        <v>25.4</v>
      </c>
      <c r="G13" s="5">
        <f t="shared" si="1"/>
        <v>1</v>
      </c>
      <c r="H13" s="6" t="str">
        <f t="shared" si="2"/>
        <v>BB</v>
      </c>
      <c r="I13" s="5">
        <v>85.343999999999994</v>
      </c>
      <c r="J13" s="5">
        <f t="shared" si="3"/>
        <v>0</v>
      </c>
      <c r="K13" s="5">
        <v>0.95799999999999996</v>
      </c>
      <c r="L13" s="5">
        <v>262225798.12799996</v>
      </c>
      <c r="M13" s="5">
        <v>132</v>
      </c>
      <c r="N13" s="5">
        <v>73</v>
      </c>
      <c r="O13" s="5">
        <v>93.98</v>
      </c>
      <c r="P13" s="5">
        <v>586886310.09599996</v>
      </c>
      <c r="Q13" s="5">
        <v>3097155.0959999999</v>
      </c>
      <c r="R13" s="5">
        <v>1818964.1039999998</v>
      </c>
      <c r="S13" s="5">
        <v>140.71599999999998</v>
      </c>
      <c r="T13" s="5">
        <f t="shared" si="4"/>
        <v>1</v>
      </c>
      <c r="U13" s="5">
        <f t="shared" si="5"/>
        <v>1</v>
      </c>
      <c r="V13" s="5">
        <f t="shared" si="6"/>
        <v>1</v>
      </c>
      <c r="W13" s="5">
        <v>184.14999999999998</v>
      </c>
      <c r="X13" s="5">
        <v>0.84399999999999997</v>
      </c>
    </row>
    <row r="14" spans="1:24" x14ac:dyDescent="0.25">
      <c r="A14" s="5" t="s">
        <v>338</v>
      </c>
      <c r="B14" s="5">
        <v>258.94052555999997</v>
      </c>
      <c r="C14" s="5">
        <v>33032.192000000003</v>
      </c>
      <c r="D14" s="6">
        <v>254</v>
      </c>
      <c r="E14" s="6">
        <v>254</v>
      </c>
      <c r="F14" s="5">
        <v>35.051999999999992</v>
      </c>
      <c r="G14" s="5">
        <f t="shared" si="1"/>
        <v>1</v>
      </c>
      <c r="H14" s="6" t="str">
        <f t="shared" si="2"/>
        <v>BB</v>
      </c>
      <c r="I14" s="5">
        <v>76.199999999999989</v>
      </c>
      <c r="J14" s="5">
        <f t="shared" si="3"/>
        <v>0</v>
      </c>
      <c r="K14" s="5">
        <v>1.28</v>
      </c>
      <c r="L14" s="5">
        <v>192298918.62719998</v>
      </c>
      <c r="M14" s="5">
        <v>120</v>
      </c>
      <c r="N14" s="5">
        <v>66</v>
      </c>
      <c r="O14" s="5">
        <v>76.199999999999989</v>
      </c>
      <c r="P14" s="5">
        <v>384181605.82879996</v>
      </c>
      <c r="Q14" s="5">
        <v>2523607.8559999997</v>
      </c>
      <c r="R14" s="5">
        <v>1512526.0071999999</v>
      </c>
      <c r="S14" s="5">
        <v>107.94999999999999</v>
      </c>
      <c r="T14" s="5">
        <f t="shared" si="4"/>
        <v>1</v>
      </c>
      <c r="U14" s="5">
        <f t="shared" si="5"/>
        <v>1</v>
      </c>
      <c r="V14" s="5">
        <f t="shared" si="6"/>
        <v>1</v>
      </c>
      <c r="W14" s="5">
        <v>144.52600000000001</v>
      </c>
      <c r="X14" s="5">
        <v>0.83499999999999996</v>
      </c>
    </row>
    <row r="15" spans="1:24" x14ac:dyDescent="0.25">
      <c r="A15" s="5" t="s">
        <v>339</v>
      </c>
      <c r="B15" s="5">
        <v>258.94052555999997</v>
      </c>
      <c r="C15" s="5">
        <v>33032.192000000003</v>
      </c>
      <c r="D15" s="6">
        <v>254</v>
      </c>
      <c r="E15" s="6">
        <v>254</v>
      </c>
      <c r="F15" s="5">
        <v>35.051999999999992</v>
      </c>
      <c r="G15" s="5">
        <f t="shared" si="1"/>
        <v>1</v>
      </c>
      <c r="H15" s="6" t="str">
        <f t="shared" si="2"/>
        <v>BB</v>
      </c>
      <c r="I15" s="5">
        <v>76.199999999999989</v>
      </c>
      <c r="J15" s="5">
        <f t="shared" si="3"/>
        <v>0</v>
      </c>
      <c r="K15" s="5">
        <v>1.28</v>
      </c>
      <c r="L15" s="5">
        <v>192298918.62719998</v>
      </c>
      <c r="M15" s="5">
        <v>120</v>
      </c>
      <c r="N15" s="5">
        <v>66</v>
      </c>
      <c r="O15" s="5">
        <v>76.199999999999989</v>
      </c>
      <c r="P15" s="5">
        <v>437042996.87999994</v>
      </c>
      <c r="Q15" s="5">
        <v>2834962.0719999997</v>
      </c>
      <c r="R15" s="5">
        <v>1655093.4639999999</v>
      </c>
      <c r="S15" s="5">
        <v>115.062</v>
      </c>
      <c r="T15" s="5">
        <f t="shared" si="4"/>
        <v>1</v>
      </c>
      <c r="U15" s="5">
        <f t="shared" si="5"/>
        <v>1</v>
      </c>
      <c r="V15" s="5">
        <f t="shared" si="6"/>
        <v>1</v>
      </c>
      <c r="W15" s="5">
        <v>149.86000000000001</v>
      </c>
      <c r="X15" s="5">
        <v>0.84699999999999998</v>
      </c>
    </row>
    <row r="16" spans="1:24" x14ac:dyDescent="0.25">
      <c r="A16" s="5" t="s">
        <v>340</v>
      </c>
      <c r="B16" s="5">
        <v>258.94052555999997</v>
      </c>
      <c r="C16" s="5">
        <v>33032.192000000003</v>
      </c>
      <c r="D16" s="6">
        <v>254</v>
      </c>
      <c r="E16" s="6">
        <v>254</v>
      </c>
      <c r="F16" s="5">
        <v>35.051999999999992</v>
      </c>
      <c r="G16" s="5">
        <f t="shared" si="1"/>
        <v>1</v>
      </c>
      <c r="H16" s="6" t="str">
        <f t="shared" si="2"/>
        <v>BB</v>
      </c>
      <c r="I16" s="5">
        <v>76.199999999999989</v>
      </c>
      <c r="J16" s="5">
        <f t="shared" si="3"/>
        <v>0</v>
      </c>
      <c r="K16" s="5">
        <v>1.28</v>
      </c>
      <c r="L16" s="5">
        <v>192298918.62719998</v>
      </c>
      <c r="M16" s="5">
        <v>120</v>
      </c>
      <c r="N16" s="5">
        <v>66</v>
      </c>
      <c r="O16" s="5">
        <v>76.199999999999989</v>
      </c>
      <c r="P16" s="5">
        <v>491153082.20799994</v>
      </c>
      <c r="Q16" s="5">
        <v>3146316.2879999997</v>
      </c>
      <c r="R16" s="5">
        <v>1802577.0399999998</v>
      </c>
      <c r="S16" s="5">
        <v>121.91999999999999</v>
      </c>
      <c r="T16" s="5">
        <f t="shared" si="4"/>
        <v>1</v>
      </c>
      <c r="U16" s="5">
        <f t="shared" si="5"/>
        <v>1</v>
      </c>
      <c r="V16" s="5">
        <f t="shared" si="6"/>
        <v>1</v>
      </c>
      <c r="W16" s="5">
        <v>155.44800000000001</v>
      </c>
      <c r="X16" s="5">
        <v>0.85799999999999998</v>
      </c>
    </row>
    <row r="17" spans="1:24" x14ac:dyDescent="0.25">
      <c r="A17" s="5" t="s">
        <v>341</v>
      </c>
      <c r="B17" s="5">
        <v>238.10623039999999</v>
      </c>
      <c r="C17" s="5">
        <v>30193.487999999998</v>
      </c>
      <c r="D17" s="6">
        <v>254</v>
      </c>
      <c r="E17" s="6">
        <v>254</v>
      </c>
      <c r="F17" s="5">
        <v>31.75</v>
      </c>
      <c r="G17" s="5">
        <f t="shared" si="1"/>
        <v>1</v>
      </c>
      <c r="H17" s="6" t="str">
        <f t="shared" si="2"/>
        <v>BB</v>
      </c>
      <c r="I17" s="5">
        <v>74.930000000000007</v>
      </c>
      <c r="J17" s="5">
        <f t="shared" si="3"/>
        <v>0</v>
      </c>
      <c r="K17" s="5">
        <v>1.17</v>
      </c>
      <c r="L17" s="5">
        <v>177314587.30559999</v>
      </c>
      <c r="M17" s="5">
        <v>110</v>
      </c>
      <c r="N17" s="5">
        <v>60.4</v>
      </c>
      <c r="O17" s="5">
        <v>76.707999999999998</v>
      </c>
      <c r="P17" s="5">
        <v>346720777.52479994</v>
      </c>
      <c r="Q17" s="5">
        <v>2261414.8319999999</v>
      </c>
      <c r="R17" s="5">
        <v>1365042.4311999998</v>
      </c>
      <c r="S17" s="5">
        <v>107.18799999999999</v>
      </c>
      <c r="T17" s="5">
        <f t="shared" si="4"/>
        <v>1</v>
      </c>
      <c r="U17" s="5">
        <f t="shared" si="5"/>
        <v>1</v>
      </c>
      <c r="V17" s="5">
        <f t="shared" si="6"/>
        <v>1</v>
      </c>
      <c r="W17" s="5">
        <v>144.27199999999999</v>
      </c>
      <c r="X17" s="5">
        <v>0.83199999999999996</v>
      </c>
    </row>
    <row r="18" spans="1:24" x14ac:dyDescent="0.25">
      <c r="A18" s="5" t="s">
        <v>342</v>
      </c>
      <c r="B18" s="5">
        <v>238.10623039999999</v>
      </c>
      <c r="C18" s="5">
        <v>30193.487999999998</v>
      </c>
      <c r="D18" s="6">
        <v>254</v>
      </c>
      <c r="E18" s="6">
        <v>254</v>
      </c>
      <c r="F18" s="5">
        <v>31.75</v>
      </c>
      <c r="G18" s="5">
        <f t="shared" si="1"/>
        <v>1</v>
      </c>
      <c r="H18" s="6" t="str">
        <f t="shared" si="2"/>
        <v>BB</v>
      </c>
      <c r="I18" s="5">
        <v>74.930000000000007</v>
      </c>
      <c r="J18" s="5">
        <f t="shared" si="3"/>
        <v>0</v>
      </c>
      <c r="K18" s="5">
        <v>1.17</v>
      </c>
      <c r="L18" s="5">
        <v>177314587.30559999</v>
      </c>
      <c r="M18" s="5">
        <v>110</v>
      </c>
      <c r="N18" s="5">
        <v>60.4</v>
      </c>
      <c r="O18" s="5">
        <v>76.707999999999998</v>
      </c>
      <c r="P18" s="5">
        <v>392506234.34079999</v>
      </c>
      <c r="Q18" s="5">
        <v>2556381.9839999997</v>
      </c>
      <c r="R18" s="5">
        <v>1489584.1176</v>
      </c>
      <c r="S18" s="5">
        <v>114.04599999999999</v>
      </c>
      <c r="T18" s="5">
        <f t="shared" si="4"/>
        <v>1</v>
      </c>
      <c r="U18" s="5">
        <f t="shared" si="5"/>
        <v>1</v>
      </c>
      <c r="V18" s="5">
        <f t="shared" si="6"/>
        <v>1</v>
      </c>
      <c r="W18" s="5">
        <v>149.60599999999999</v>
      </c>
      <c r="X18" s="5">
        <v>0.84399999999999997</v>
      </c>
    </row>
    <row r="19" spans="1:24" x14ac:dyDescent="0.25">
      <c r="A19" s="5" t="s">
        <v>343</v>
      </c>
      <c r="B19" s="5">
        <v>238.10623039999999</v>
      </c>
      <c r="C19" s="5">
        <v>30193.487999999998</v>
      </c>
      <c r="D19" s="6">
        <v>254</v>
      </c>
      <c r="E19" s="6">
        <v>254</v>
      </c>
      <c r="F19" s="5">
        <v>31.75</v>
      </c>
      <c r="G19" s="5">
        <f t="shared" si="1"/>
        <v>1</v>
      </c>
      <c r="H19" s="6" t="str">
        <f t="shared" si="2"/>
        <v>BB</v>
      </c>
      <c r="I19" s="5">
        <v>74.930000000000007</v>
      </c>
      <c r="J19" s="5">
        <f t="shared" si="3"/>
        <v>0</v>
      </c>
      <c r="K19" s="5">
        <v>1.17</v>
      </c>
      <c r="L19" s="5">
        <v>177314587.30559999</v>
      </c>
      <c r="M19" s="5">
        <v>110</v>
      </c>
      <c r="N19" s="5">
        <v>60.4</v>
      </c>
      <c r="O19" s="5">
        <v>76.707999999999998</v>
      </c>
      <c r="P19" s="5">
        <v>445367625.39199996</v>
      </c>
      <c r="Q19" s="5">
        <v>2834962.0719999997</v>
      </c>
      <c r="R19" s="5">
        <v>1630512.8679999998</v>
      </c>
      <c r="S19" s="5">
        <v>121.41200000000001</v>
      </c>
      <c r="T19" s="5">
        <f t="shared" si="4"/>
        <v>1</v>
      </c>
      <c r="U19" s="5">
        <f t="shared" si="5"/>
        <v>1</v>
      </c>
      <c r="V19" s="5">
        <f t="shared" si="6"/>
        <v>1</v>
      </c>
      <c r="W19" s="5">
        <v>155.19399999999999</v>
      </c>
      <c r="X19" s="5">
        <v>0.85499999999999998</v>
      </c>
    </row>
    <row r="20" spans="1:24" x14ac:dyDescent="0.25">
      <c r="A20" s="5" t="s">
        <v>344</v>
      </c>
      <c r="B20" s="5">
        <v>215.78377129999998</v>
      </c>
      <c r="C20" s="5">
        <v>27483.815999999999</v>
      </c>
      <c r="D20" s="6">
        <v>254</v>
      </c>
      <c r="E20" s="6">
        <v>254</v>
      </c>
      <c r="F20" s="5">
        <v>28.701999999999995</v>
      </c>
      <c r="G20" s="5">
        <f t="shared" si="1"/>
        <v>1</v>
      </c>
      <c r="H20" s="6" t="str">
        <f t="shared" si="2"/>
        <v>BB</v>
      </c>
      <c r="I20" s="5">
        <v>73.66</v>
      </c>
      <c r="J20" s="5">
        <f t="shared" si="3"/>
        <v>0</v>
      </c>
      <c r="K20" s="5">
        <v>1.07</v>
      </c>
      <c r="L20" s="5">
        <v>163162718.83519998</v>
      </c>
      <c r="M20" s="5">
        <v>100</v>
      </c>
      <c r="N20" s="5">
        <v>55.2</v>
      </c>
      <c r="O20" s="5">
        <v>76.961999999999989</v>
      </c>
      <c r="P20" s="5">
        <v>312173569.19999999</v>
      </c>
      <c r="Q20" s="5">
        <v>2031995.9359999998</v>
      </c>
      <c r="R20" s="5">
        <v>1229029.7999999998</v>
      </c>
      <c r="S20" s="5">
        <v>106.67999999999999</v>
      </c>
      <c r="T20" s="5">
        <f t="shared" si="4"/>
        <v>1</v>
      </c>
      <c r="U20" s="5">
        <f t="shared" si="5"/>
        <v>1</v>
      </c>
      <c r="V20" s="5">
        <f t="shared" si="6"/>
        <v>1</v>
      </c>
      <c r="W20" s="5">
        <v>144.27199999999999</v>
      </c>
      <c r="X20" s="5">
        <v>0.83099999999999996</v>
      </c>
    </row>
    <row r="21" spans="1:24" x14ac:dyDescent="0.25">
      <c r="A21" s="5" t="s">
        <v>345</v>
      </c>
      <c r="B21" s="5">
        <v>215.78377129999998</v>
      </c>
      <c r="C21" s="5">
        <v>27483.815999999999</v>
      </c>
      <c r="D21" s="6">
        <v>254</v>
      </c>
      <c r="E21" s="6">
        <v>254</v>
      </c>
      <c r="F21" s="5">
        <v>28.701999999999995</v>
      </c>
      <c r="G21" s="5">
        <f t="shared" si="1"/>
        <v>1</v>
      </c>
      <c r="H21" s="6" t="str">
        <f t="shared" si="2"/>
        <v>BB</v>
      </c>
      <c r="I21" s="5">
        <v>73.66</v>
      </c>
      <c r="J21" s="5">
        <f t="shared" si="3"/>
        <v>0</v>
      </c>
      <c r="K21" s="5">
        <v>1.07</v>
      </c>
      <c r="L21" s="5">
        <v>163162718.83519998</v>
      </c>
      <c r="M21" s="5">
        <v>100</v>
      </c>
      <c r="N21" s="5">
        <v>55.2</v>
      </c>
      <c r="O21" s="5">
        <v>76.961999999999989</v>
      </c>
      <c r="P21" s="5">
        <v>353380480.33439994</v>
      </c>
      <c r="Q21" s="5">
        <v>2294188.96</v>
      </c>
      <c r="R21" s="5">
        <v>1340461.8351999999</v>
      </c>
      <c r="S21" s="5">
        <v>113.28399999999999</v>
      </c>
      <c r="T21" s="5">
        <f t="shared" si="4"/>
        <v>1</v>
      </c>
      <c r="U21" s="5">
        <f t="shared" si="5"/>
        <v>1</v>
      </c>
      <c r="V21" s="5">
        <f t="shared" si="6"/>
        <v>1</v>
      </c>
      <c r="W21" s="5">
        <v>149.35199999999998</v>
      </c>
      <c r="X21" s="5">
        <v>0.84199999999999997</v>
      </c>
    </row>
    <row r="22" spans="1:24" x14ac:dyDescent="0.25">
      <c r="A22" s="5" t="s">
        <v>346</v>
      </c>
      <c r="B22" s="5">
        <v>215.78377129999998</v>
      </c>
      <c r="C22" s="5">
        <v>27483.815999999999</v>
      </c>
      <c r="D22" s="6">
        <v>254</v>
      </c>
      <c r="E22" s="6">
        <v>254</v>
      </c>
      <c r="F22" s="5">
        <v>28.701999999999995</v>
      </c>
      <c r="G22" s="5">
        <f t="shared" si="1"/>
        <v>1</v>
      </c>
      <c r="H22" s="6" t="str">
        <f t="shared" si="2"/>
        <v>BB</v>
      </c>
      <c r="I22" s="5">
        <v>73.66</v>
      </c>
      <c r="J22" s="5">
        <f t="shared" si="3"/>
        <v>0</v>
      </c>
      <c r="K22" s="5">
        <v>1.07</v>
      </c>
      <c r="L22" s="5">
        <v>163162718.83519998</v>
      </c>
      <c r="M22" s="5">
        <v>100</v>
      </c>
      <c r="N22" s="5">
        <v>55.2</v>
      </c>
      <c r="O22" s="5">
        <v>76.961999999999989</v>
      </c>
      <c r="P22" s="5">
        <v>399582168.57599998</v>
      </c>
      <c r="Q22" s="5">
        <v>2539994.92</v>
      </c>
      <c r="R22" s="5">
        <v>1463364.8151999998</v>
      </c>
      <c r="S22" s="5">
        <v>120.64999999999999</v>
      </c>
      <c r="T22" s="5">
        <f t="shared" si="4"/>
        <v>1</v>
      </c>
      <c r="U22" s="5">
        <f t="shared" si="5"/>
        <v>1</v>
      </c>
      <c r="V22" s="5">
        <f t="shared" si="6"/>
        <v>1</v>
      </c>
      <c r="W22" s="5">
        <v>154.93999999999997</v>
      </c>
      <c r="X22" s="5">
        <v>0.85299999999999998</v>
      </c>
    </row>
    <row r="23" spans="1:24" x14ac:dyDescent="0.25">
      <c r="A23" s="5" t="s">
        <v>347</v>
      </c>
      <c r="B23" s="5">
        <v>191.97314825999999</v>
      </c>
      <c r="C23" s="5">
        <v>24516.079999999998</v>
      </c>
      <c r="D23" s="6">
        <v>254</v>
      </c>
      <c r="E23" s="6">
        <v>254</v>
      </c>
      <c r="F23" s="5">
        <v>25.4</v>
      </c>
      <c r="G23" s="5">
        <f t="shared" si="1"/>
        <v>1</v>
      </c>
      <c r="H23" s="6" t="str">
        <f t="shared" si="2"/>
        <v>BB</v>
      </c>
      <c r="I23" s="5">
        <v>72.643999999999991</v>
      </c>
      <c r="J23" s="5">
        <f t="shared" si="3"/>
        <v>0</v>
      </c>
      <c r="K23" s="5">
        <v>0.95</v>
      </c>
      <c r="L23" s="5">
        <v>147345924.66239998</v>
      </c>
      <c r="M23" s="5">
        <v>90</v>
      </c>
      <c r="N23" s="5">
        <v>49.6</v>
      </c>
      <c r="O23" s="5">
        <v>77.469999999999985</v>
      </c>
      <c r="P23" s="5">
        <v>276793898.02399999</v>
      </c>
      <c r="Q23" s="5">
        <v>1786189.9759999998</v>
      </c>
      <c r="R23" s="5">
        <v>1089739.7559999998</v>
      </c>
      <c r="S23" s="5">
        <v>106.17199999999998</v>
      </c>
      <c r="T23" s="5">
        <f t="shared" si="4"/>
        <v>1</v>
      </c>
      <c r="U23" s="5">
        <f t="shared" si="5"/>
        <v>1</v>
      </c>
      <c r="V23" s="5">
        <f t="shared" si="6"/>
        <v>1</v>
      </c>
      <c r="W23" s="5">
        <v>144.52600000000001</v>
      </c>
      <c r="X23" s="5">
        <v>0.82799999999999996</v>
      </c>
    </row>
    <row r="24" spans="1:24" x14ac:dyDescent="0.25">
      <c r="A24" s="5" t="s">
        <v>348</v>
      </c>
      <c r="B24" s="5">
        <v>191.97314825999999</v>
      </c>
      <c r="C24" s="5">
        <v>24516.079999999998</v>
      </c>
      <c r="D24" s="6">
        <v>254</v>
      </c>
      <c r="E24" s="6">
        <v>254</v>
      </c>
      <c r="F24" s="5">
        <v>25.4</v>
      </c>
      <c r="G24" s="5">
        <f t="shared" si="1"/>
        <v>1</v>
      </c>
      <c r="H24" s="6" t="str">
        <f t="shared" si="2"/>
        <v>BB</v>
      </c>
      <c r="I24" s="5">
        <v>72.643999999999991</v>
      </c>
      <c r="J24" s="5">
        <f t="shared" si="3"/>
        <v>0</v>
      </c>
      <c r="K24" s="5">
        <v>0.95</v>
      </c>
      <c r="L24" s="5">
        <v>147345924.66239998</v>
      </c>
      <c r="M24" s="5">
        <v>90</v>
      </c>
      <c r="N24" s="5">
        <v>49.6</v>
      </c>
      <c r="O24" s="5">
        <v>77.469999999999985</v>
      </c>
      <c r="P24" s="5">
        <v>313006032.05119997</v>
      </c>
      <c r="Q24" s="5">
        <v>2015608.8719999997</v>
      </c>
      <c r="R24" s="5">
        <v>1188062.1399999999</v>
      </c>
      <c r="S24" s="5">
        <v>113.03</v>
      </c>
      <c r="T24" s="5">
        <f t="shared" si="4"/>
        <v>1</v>
      </c>
      <c r="U24" s="5">
        <f t="shared" si="5"/>
        <v>1</v>
      </c>
      <c r="V24" s="5">
        <f t="shared" si="6"/>
        <v>1</v>
      </c>
      <c r="W24" s="5">
        <v>149.60599999999999</v>
      </c>
      <c r="X24" s="5">
        <v>0.83899999999999997</v>
      </c>
    </row>
    <row r="25" spans="1:24" x14ac:dyDescent="0.25">
      <c r="A25" s="5" t="s">
        <v>349</v>
      </c>
      <c r="B25" s="5">
        <v>191.97314825999999</v>
      </c>
      <c r="C25" s="5">
        <v>24516.079999999998</v>
      </c>
      <c r="D25" s="6">
        <v>254</v>
      </c>
      <c r="E25" s="6">
        <v>254</v>
      </c>
      <c r="F25" s="5">
        <v>25.4</v>
      </c>
      <c r="G25" s="5">
        <f t="shared" si="1"/>
        <v>1</v>
      </c>
      <c r="H25" s="6" t="str">
        <f t="shared" si="2"/>
        <v>BB</v>
      </c>
      <c r="I25" s="5">
        <v>72.643999999999991</v>
      </c>
      <c r="J25" s="5">
        <f t="shared" si="3"/>
        <v>0</v>
      </c>
      <c r="K25" s="5">
        <v>0.95</v>
      </c>
      <c r="L25" s="5">
        <v>147345924.66239998</v>
      </c>
      <c r="M25" s="5">
        <v>90</v>
      </c>
      <c r="N25" s="5">
        <v>49.6</v>
      </c>
      <c r="O25" s="5">
        <v>77.469999999999985</v>
      </c>
      <c r="P25" s="5">
        <v>353380480.33439994</v>
      </c>
      <c r="Q25" s="5">
        <v>2245027.7679999997</v>
      </c>
      <c r="R25" s="5">
        <v>1294578.0559999999</v>
      </c>
      <c r="S25" s="5">
        <v>120.14200000000001</v>
      </c>
      <c r="T25" s="5">
        <f t="shared" si="4"/>
        <v>1</v>
      </c>
      <c r="U25" s="5">
        <f t="shared" si="5"/>
        <v>1</v>
      </c>
      <c r="V25" s="5">
        <f t="shared" si="6"/>
        <v>1</v>
      </c>
      <c r="W25" s="5">
        <v>154.93999999999997</v>
      </c>
      <c r="X25" s="5">
        <v>0.85</v>
      </c>
    </row>
    <row r="26" spans="1:24" x14ac:dyDescent="0.25">
      <c r="A26" s="5" t="s">
        <v>350</v>
      </c>
      <c r="B26" s="5">
        <v>169.65068915999998</v>
      </c>
      <c r="C26" s="5">
        <v>21677.376</v>
      </c>
      <c r="D26" s="6">
        <v>254</v>
      </c>
      <c r="E26" s="6">
        <v>254</v>
      </c>
      <c r="F26" s="5">
        <v>22.224999999999998</v>
      </c>
      <c r="G26" s="5">
        <f t="shared" si="1"/>
        <v>1</v>
      </c>
      <c r="H26" s="6" t="str">
        <f t="shared" si="2"/>
        <v>BB</v>
      </c>
      <c r="I26" s="5">
        <v>71.11999999999999</v>
      </c>
      <c r="J26" s="5">
        <f t="shared" si="3"/>
        <v>0</v>
      </c>
      <c r="K26" s="5">
        <v>0.84</v>
      </c>
      <c r="L26" s="5">
        <v>131529130.48959999</v>
      </c>
      <c r="M26" s="5">
        <v>79.8</v>
      </c>
      <c r="N26" s="5">
        <v>43.8</v>
      </c>
      <c r="O26" s="5">
        <v>77.977999999999994</v>
      </c>
      <c r="P26" s="5">
        <v>240997995.42239997</v>
      </c>
      <c r="Q26" s="5">
        <v>1542022.7223999999</v>
      </c>
      <c r="R26" s="5">
        <v>948811.00559999992</v>
      </c>
      <c r="S26" s="5">
        <v>105.41</v>
      </c>
      <c r="T26" s="5">
        <f t="shared" si="4"/>
        <v>1</v>
      </c>
      <c r="U26" s="5">
        <f t="shared" si="5"/>
        <v>1</v>
      </c>
      <c r="V26" s="5">
        <f t="shared" si="6"/>
        <v>1</v>
      </c>
      <c r="W26" s="5">
        <v>144.27199999999999</v>
      </c>
      <c r="X26" s="5">
        <v>0.82699999999999996</v>
      </c>
    </row>
    <row r="27" spans="1:24" x14ac:dyDescent="0.25">
      <c r="A27" s="5" t="s">
        <v>351</v>
      </c>
      <c r="B27" s="5">
        <v>169.65068915999998</v>
      </c>
      <c r="C27" s="5">
        <v>21677.376</v>
      </c>
      <c r="D27" s="6">
        <v>254</v>
      </c>
      <c r="E27" s="6">
        <v>254</v>
      </c>
      <c r="F27" s="5">
        <v>22.224999999999998</v>
      </c>
      <c r="G27" s="5">
        <f t="shared" si="1"/>
        <v>1</v>
      </c>
      <c r="H27" s="6" t="str">
        <f t="shared" si="2"/>
        <v>BB</v>
      </c>
      <c r="I27" s="5">
        <v>71.11999999999999</v>
      </c>
      <c r="J27" s="5">
        <f t="shared" si="3"/>
        <v>0</v>
      </c>
      <c r="K27" s="5">
        <v>0.84</v>
      </c>
      <c r="L27" s="5">
        <v>131529130.48959999</v>
      </c>
      <c r="M27" s="5">
        <v>79.8</v>
      </c>
      <c r="N27" s="5">
        <v>43.8</v>
      </c>
      <c r="O27" s="5">
        <v>77.977999999999994</v>
      </c>
      <c r="P27" s="5">
        <v>272631583.76799995</v>
      </c>
      <c r="Q27" s="5">
        <v>1753415.8479999998</v>
      </c>
      <c r="R27" s="5">
        <v>1034023.7383999999</v>
      </c>
      <c r="S27" s="5">
        <v>112.26799999999999</v>
      </c>
      <c r="T27" s="5">
        <f t="shared" si="4"/>
        <v>1</v>
      </c>
      <c r="U27" s="5">
        <f t="shared" si="5"/>
        <v>1</v>
      </c>
      <c r="V27" s="5">
        <f t="shared" si="6"/>
        <v>1</v>
      </c>
      <c r="W27" s="5">
        <v>149.09799999999998</v>
      </c>
      <c r="X27" s="5">
        <v>0.83799999999999997</v>
      </c>
    </row>
    <row r="28" spans="1:24" x14ac:dyDescent="0.25">
      <c r="A28" s="5" t="s">
        <v>352</v>
      </c>
      <c r="B28" s="5">
        <v>169.65068915999998</v>
      </c>
      <c r="C28" s="5">
        <v>21677.376</v>
      </c>
      <c r="D28" s="6">
        <v>254</v>
      </c>
      <c r="E28" s="6">
        <v>254</v>
      </c>
      <c r="F28" s="5">
        <v>22.224999999999998</v>
      </c>
      <c r="G28" s="5">
        <f t="shared" si="1"/>
        <v>1</v>
      </c>
      <c r="H28" s="6" t="str">
        <f t="shared" si="2"/>
        <v>BB</v>
      </c>
      <c r="I28" s="5">
        <v>71.11999999999999</v>
      </c>
      <c r="J28" s="5">
        <f t="shared" si="3"/>
        <v>0</v>
      </c>
      <c r="K28" s="5">
        <v>0.84</v>
      </c>
      <c r="L28" s="5">
        <v>131529130.48959999</v>
      </c>
      <c r="M28" s="5">
        <v>79.8</v>
      </c>
      <c r="N28" s="5">
        <v>43.8</v>
      </c>
      <c r="O28" s="5">
        <v>77.977999999999994</v>
      </c>
      <c r="P28" s="5">
        <v>307595023.51839995</v>
      </c>
      <c r="Q28" s="5">
        <v>1950060.6159999999</v>
      </c>
      <c r="R28" s="5">
        <v>1125791.2967999999</v>
      </c>
      <c r="S28" s="5">
        <v>119.126</v>
      </c>
      <c r="T28" s="5">
        <f t="shared" si="4"/>
        <v>1</v>
      </c>
      <c r="U28" s="5">
        <f t="shared" si="5"/>
        <v>1</v>
      </c>
      <c r="V28" s="5">
        <f t="shared" si="6"/>
        <v>1</v>
      </c>
      <c r="W28" s="5">
        <v>154.43199999999999</v>
      </c>
      <c r="X28" s="5">
        <v>0.84899999999999998</v>
      </c>
    </row>
    <row r="29" spans="1:24" x14ac:dyDescent="0.25">
      <c r="A29" s="5" t="s">
        <v>353</v>
      </c>
      <c r="B29" s="5">
        <v>146.137698908</v>
      </c>
      <c r="C29" s="5">
        <v>18709.64</v>
      </c>
      <c r="D29" s="6">
        <v>254</v>
      </c>
      <c r="E29" s="6">
        <v>254</v>
      </c>
      <c r="F29" s="5">
        <v>19.049999999999997</v>
      </c>
      <c r="G29" s="5">
        <f t="shared" si="1"/>
        <v>1</v>
      </c>
      <c r="H29" s="6" t="str">
        <f t="shared" si="2"/>
        <v>BB</v>
      </c>
      <c r="I29" s="5">
        <v>70.103999999999985</v>
      </c>
      <c r="J29" s="5">
        <f t="shared" si="3"/>
        <v>0</v>
      </c>
      <c r="K29" s="5">
        <v>0.72499999999999998</v>
      </c>
      <c r="L29" s="5">
        <v>115712336.31679998</v>
      </c>
      <c r="M29" s="5">
        <v>69.2</v>
      </c>
      <c r="N29" s="5">
        <v>38.4</v>
      </c>
      <c r="O29" s="5">
        <v>78.739999999999995</v>
      </c>
      <c r="P29" s="5">
        <v>207699481.37439999</v>
      </c>
      <c r="Q29" s="5">
        <v>1310965.1199999999</v>
      </c>
      <c r="R29" s="5">
        <v>817714.49359999993</v>
      </c>
      <c r="S29" s="5">
        <v>105.41</v>
      </c>
      <c r="T29" s="5">
        <f t="shared" si="4"/>
        <v>1</v>
      </c>
      <c r="U29" s="5">
        <f t="shared" si="5"/>
        <v>1</v>
      </c>
      <c r="V29" s="5">
        <f t="shared" si="6"/>
        <v>1</v>
      </c>
      <c r="W29" s="5">
        <v>144.78</v>
      </c>
      <c r="X29" s="5">
        <v>0.82499999999999996</v>
      </c>
    </row>
    <row r="30" spans="1:24" x14ac:dyDescent="0.25">
      <c r="A30" s="5" t="s">
        <v>354</v>
      </c>
      <c r="B30" s="5">
        <v>146.137698908</v>
      </c>
      <c r="C30" s="5">
        <v>18709.64</v>
      </c>
      <c r="D30" s="6">
        <v>254</v>
      </c>
      <c r="E30" s="6">
        <v>254</v>
      </c>
      <c r="F30" s="5">
        <v>19.049999999999997</v>
      </c>
      <c r="G30" s="5">
        <f t="shared" si="1"/>
        <v>1</v>
      </c>
      <c r="H30" s="6" t="str">
        <f t="shared" si="2"/>
        <v>BB</v>
      </c>
      <c r="I30" s="5">
        <v>70.103999999999985</v>
      </c>
      <c r="J30" s="5">
        <f t="shared" si="3"/>
        <v>0</v>
      </c>
      <c r="K30" s="5">
        <v>0.72499999999999998</v>
      </c>
      <c r="L30" s="5">
        <v>115712336.31679998</v>
      </c>
      <c r="M30" s="5">
        <v>69.2</v>
      </c>
      <c r="N30" s="5">
        <v>38.4</v>
      </c>
      <c r="O30" s="5">
        <v>78.739999999999995</v>
      </c>
      <c r="P30" s="5">
        <v>234338292.61279997</v>
      </c>
      <c r="Q30" s="5">
        <v>1489584.1176</v>
      </c>
      <c r="R30" s="5">
        <v>889817.57519999985</v>
      </c>
      <c r="S30" s="5">
        <v>112.014</v>
      </c>
      <c r="T30" s="5">
        <f t="shared" si="4"/>
        <v>1</v>
      </c>
      <c r="U30" s="5">
        <f t="shared" si="5"/>
        <v>1</v>
      </c>
      <c r="V30" s="5">
        <f t="shared" si="6"/>
        <v>1</v>
      </c>
      <c r="W30" s="5">
        <v>149.60599999999999</v>
      </c>
      <c r="X30" s="5">
        <v>0.83599999999999997</v>
      </c>
    </row>
    <row r="31" spans="1:24" x14ac:dyDescent="0.25">
      <c r="A31" s="5" t="s">
        <v>355</v>
      </c>
      <c r="B31" s="5">
        <v>146.137698908</v>
      </c>
      <c r="C31" s="5">
        <v>18709.64</v>
      </c>
      <c r="D31" s="6">
        <v>254</v>
      </c>
      <c r="E31" s="6">
        <v>254</v>
      </c>
      <c r="F31" s="5">
        <v>19.049999999999997</v>
      </c>
      <c r="G31" s="5">
        <f t="shared" si="1"/>
        <v>1</v>
      </c>
      <c r="H31" s="6" t="str">
        <f t="shared" si="2"/>
        <v>BB</v>
      </c>
      <c r="I31" s="5">
        <v>70.103999999999985</v>
      </c>
      <c r="J31" s="5">
        <f t="shared" si="3"/>
        <v>0</v>
      </c>
      <c r="K31" s="5">
        <v>0.72499999999999998</v>
      </c>
      <c r="L31" s="5">
        <v>115712336.31679998</v>
      </c>
      <c r="M31" s="5">
        <v>69.2</v>
      </c>
      <c r="N31" s="5">
        <v>38.4</v>
      </c>
      <c r="O31" s="5">
        <v>78.739999999999995</v>
      </c>
      <c r="P31" s="5">
        <v>264306955.25599998</v>
      </c>
      <c r="Q31" s="5">
        <v>1671480.5279999999</v>
      </c>
      <c r="R31" s="5">
        <v>968475.48239999998</v>
      </c>
      <c r="S31" s="5">
        <v>118.87199999999999</v>
      </c>
      <c r="T31" s="5">
        <f t="shared" si="4"/>
        <v>1</v>
      </c>
      <c r="U31" s="5">
        <f t="shared" si="5"/>
        <v>1</v>
      </c>
      <c r="V31" s="5">
        <f t="shared" si="6"/>
        <v>1</v>
      </c>
      <c r="W31" s="5">
        <v>154.93999999999997</v>
      </c>
      <c r="X31" s="5">
        <v>0.84699999999999998</v>
      </c>
    </row>
    <row r="32" spans="1:24" x14ac:dyDescent="0.25">
      <c r="A32" s="5" t="s">
        <v>356</v>
      </c>
      <c r="B32" s="5">
        <v>169.65068915999998</v>
      </c>
      <c r="C32" s="5">
        <v>21677.376</v>
      </c>
      <c r="D32" s="6">
        <v>203.2</v>
      </c>
      <c r="E32" s="6">
        <v>203.2</v>
      </c>
      <c r="F32" s="5">
        <v>28.701999999999995</v>
      </c>
      <c r="G32" s="5">
        <f t="shared" si="1"/>
        <v>1</v>
      </c>
      <c r="H32" s="6" t="str">
        <f t="shared" si="2"/>
        <v>BB</v>
      </c>
      <c r="I32" s="5">
        <v>60.959999999999994</v>
      </c>
      <c r="J32" s="5">
        <f t="shared" si="3"/>
        <v>0</v>
      </c>
      <c r="K32" s="5">
        <v>1.05</v>
      </c>
      <c r="L32" s="5">
        <v>81581359.417599991</v>
      </c>
      <c r="M32" s="5">
        <v>63.2</v>
      </c>
      <c r="N32" s="5">
        <v>35</v>
      </c>
      <c r="O32" s="5">
        <v>61.213999999999999</v>
      </c>
      <c r="P32" s="5">
        <v>162746487.40959999</v>
      </c>
      <c r="Q32" s="5">
        <v>1320797.3583999998</v>
      </c>
      <c r="R32" s="5">
        <v>801327.42959999992</v>
      </c>
      <c r="S32" s="5">
        <v>86.614000000000004</v>
      </c>
      <c r="T32" s="5">
        <f t="shared" si="4"/>
        <v>1</v>
      </c>
      <c r="U32" s="5">
        <f t="shared" si="5"/>
        <v>1</v>
      </c>
      <c r="V32" s="5">
        <f t="shared" si="6"/>
        <v>1</v>
      </c>
      <c r="W32" s="5">
        <v>115.82399999999998</v>
      </c>
      <c r="X32" s="5">
        <v>0.83699999999999997</v>
      </c>
    </row>
    <row r="33" spans="1:24" x14ac:dyDescent="0.25">
      <c r="A33" s="5" t="s">
        <v>357</v>
      </c>
      <c r="B33" s="5">
        <v>169.65068915999998</v>
      </c>
      <c r="C33" s="5">
        <v>21677.376</v>
      </c>
      <c r="D33" s="6">
        <v>203.2</v>
      </c>
      <c r="E33" s="6">
        <v>203.2</v>
      </c>
      <c r="F33" s="5">
        <v>28.701999999999995</v>
      </c>
      <c r="G33" s="5">
        <f t="shared" si="1"/>
        <v>1</v>
      </c>
      <c r="H33" s="6" t="str">
        <f t="shared" si="2"/>
        <v>BB</v>
      </c>
      <c r="I33" s="5">
        <v>60.959999999999994</v>
      </c>
      <c r="J33" s="5">
        <f t="shared" si="3"/>
        <v>0</v>
      </c>
      <c r="K33" s="5">
        <v>1.05</v>
      </c>
      <c r="L33" s="5">
        <v>81581359.417599991</v>
      </c>
      <c r="M33" s="5">
        <v>63.2</v>
      </c>
      <c r="N33" s="5">
        <v>35</v>
      </c>
      <c r="O33" s="5">
        <v>61.213999999999999</v>
      </c>
      <c r="P33" s="5">
        <v>175233430.1776</v>
      </c>
      <c r="Q33" s="5">
        <v>1424035.8615999999</v>
      </c>
      <c r="R33" s="5">
        <v>842295.08959999995</v>
      </c>
      <c r="S33" s="5">
        <v>89.915999999999997</v>
      </c>
      <c r="T33" s="5">
        <f t="shared" si="4"/>
        <v>1</v>
      </c>
      <c r="U33" s="5">
        <f t="shared" si="5"/>
        <v>1</v>
      </c>
      <c r="V33" s="5">
        <f t="shared" si="6"/>
        <v>1</v>
      </c>
      <c r="W33" s="5">
        <v>118.36399999999999</v>
      </c>
      <c r="X33" s="5">
        <v>0.84399999999999997</v>
      </c>
    </row>
    <row r="34" spans="1:24" x14ac:dyDescent="0.25">
      <c r="A34" s="5" t="s">
        <v>358</v>
      </c>
      <c r="B34" s="5">
        <v>169.65068915999998</v>
      </c>
      <c r="C34" s="5">
        <v>21677.376</v>
      </c>
      <c r="D34" s="6">
        <v>203.2</v>
      </c>
      <c r="E34" s="6">
        <v>203.2</v>
      </c>
      <c r="F34" s="5">
        <v>28.701999999999995</v>
      </c>
      <c r="G34" s="5">
        <f t="shared" si="1"/>
        <v>1</v>
      </c>
      <c r="H34" s="6" t="str">
        <f t="shared" si="2"/>
        <v>BB</v>
      </c>
      <c r="I34" s="5">
        <v>60.959999999999994</v>
      </c>
      <c r="J34" s="5">
        <f t="shared" si="3"/>
        <v>0</v>
      </c>
      <c r="K34" s="5">
        <v>1.05</v>
      </c>
      <c r="L34" s="5">
        <v>81581359.417599991</v>
      </c>
      <c r="M34" s="5">
        <v>63.2</v>
      </c>
      <c r="N34" s="5">
        <v>35</v>
      </c>
      <c r="O34" s="5">
        <v>61.213999999999999</v>
      </c>
      <c r="P34" s="5">
        <v>189385298.64799997</v>
      </c>
      <c r="Q34" s="5">
        <v>1527274.3647999999</v>
      </c>
      <c r="R34" s="5">
        <v>889817.57519999985</v>
      </c>
      <c r="S34" s="5">
        <v>93.471999999999994</v>
      </c>
      <c r="T34" s="5">
        <f t="shared" si="4"/>
        <v>1</v>
      </c>
      <c r="U34" s="5">
        <f t="shared" si="5"/>
        <v>1</v>
      </c>
      <c r="V34" s="5">
        <f t="shared" si="6"/>
        <v>1</v>
      </c>
      <c r="W34" s="5">
        <v>121.15799999999999</v>
      </c>
      <c r="X34" s="5">
        <v>0.85099999999999998</v>
      </c>
    </row>
    <row r="35" spans="1:24" x14ac:dyDescent="0.25">
      <c r="A35" s="5" t="s">
        <v>359</v>
      </c>
      <c r="B35" s="5">
        <v>151.79272187999999</v>
      </c>
      <c r="C35" s="5">
        <v>19483.831999999999</v>
      </c>
      <c r="D35" s="6">
        <v>203.2</v>
      </c>
      <c r="E35" s="6">
        <v>203.2</v>
      </c>
      <c r="F35" s="5">
        <v>25.4</v>
      </c>
      <c r="G35" s="5">
        <f t="shared" si="1"/>
        <v>1</v>
      </c>
      <c r="H35" s="6" t="str">
        <f t="shared" si="2"/>
        <v>BB</v>
      </c>
      <c r="I35" s="5">
        <v>59.943999999999996</v>
      </c>
      <c r="J35" s="5">
        <f t="shared" si="3"/>
        <v>0</v>
      </c>
      <c r="K35" s="5">
        <v>0.94399999999999995</v>
      </c>
      <c r="L35" s="5">
        <v>74089193.756799996</v>
      </c>
      <c r="M35" s="5">
        <v>57</v>
      </c>
      <c r="N35" s="5">
        <v>31.6</v>
      </c>
      <c r="O35" s="5">
        <v>61.722000000000001</v>
      </c>
      <c r="P35" s="5">
        <v>144432304.68319997</v>
      </c>
      <c r="Q35" s="5">
        <v>1168397.6631999998</v>
      </c>
      <c r="R35" s="5">
        <v>711198.57759999996</v>
      </c>
      <c r="S35" s="5">
        <v>86.105999999999995</v>
      </c>
      <c r="T35" s="5">
        <f t="shared" si="4"/>
        <v>1</v>
      </c>
      <c r="U35" s="5">
        <f t="shared" si="5"/>
        <v>1</v>
      </c>
      <c r="V35" s="5">
        <f t="shared" si="6"/>
        <v>1</v>
      </c>
      <c r="W35" s="5">
        <v>115.82399999999998</v>
      </c>
      <c r="X35" s="5">
        <v>0.83399999999999996</v>
      </c>
    </row>
    <row r="36" spans="1:24" x14ac:dyDescent="0.25">
      <c r="A36" s="5" t="s">
        <v>360</v>
      </c>
      <c r="B36" s="5">
        <v>151.79272187999999</v>
      </c>
      <c r="C36" s="5">
        <v>19483.831999999999</v>
      </c>
      <c r="D36" s="6">
        <v>203.2</v>
      </c>
      <c r="E36" s="6">
        <v>203.2</v>
      </c>
      <c r="F36" s="5">
        <v>25.4</v>
      </c>
      <c r="G36" s="5">
        <f t="shared" si="1"/>
        <v>1</v>
      </c>
      <c r="H36" s="6" t="str">
        <f t="shared" si="2"/>
        <v>BB</v>
      </c>
      <c r="I36" s="5">
        <v>59.943999999999996</v>
      </c>
      <c r="J36" s="5">
        <f t="shared" si="3"/>
        <v>0</v>
      </c>
      <c r="K36" s="5">
        <v>0.94399999999999995</v>
      </c>
      <c r="L36" s="5">
        <v>74089193.756799996</v>
      </c>
      <c r="M36" s="5">
        <v>57</v>
      </c>
      <c r="N36" s="5">
        <v>31.6</v>
      </c>
      <c r="O36" s="5">
        <v>61.722000000000001</v>
      </c>
      <c r="P36" s="5">
        <v>155670553.17439997</v>
      </c>
      <c r="Q36" s="5">
        <v>1260165.2216</v>
      </c>
      <c r="R36" s="5">
        <v>748888.82479999994</v>
      </c>
      <c r="S36" s="5">
        <v>89.408000000000001</v>
      </c>
      <c r="T36" s="5">
        <f t="shared" si="4"/>
        <v>1</v>
      </c>
      <c r="U36" s="5">
        <f t="shared" si="5"/>
        <v>1</v>
      </c>
      <c r="V36" s="5">
        <f t="shared" si="6"/>
        <v>1</v>
      </c>
      <c r="W36" s="5">
        <v>118.36399999999999</v>
      </c>
      <c r="X36" s="5">
        <v>0.84099999999999997</v>
      </c>
    </row>
    <row r="37" spans="1:24" x14ac:dyDescent="0.25">
      <c r="A37" s="5" t="s">
        <v>361</v>
      </c>
      <c r="B37" s="5">
        <v>151.79272187999999</v>
      </c>
      <c r="C37" s="5">
        <v>19483.831999999999</v>
      </c>
      <c r="D37" s="6">
        <v>203.2</v>
      </c>
      <c r="E37" s="6">
        <v>203.2</v>
      </c>
      <c r="F37" s="5">
        <v>25.4</v>
      </c>
      <c r="G37" s="5">
        <f t="shared" si="1"/>
        <v>1</v>
      </c>
      <c r="H37" s="6" t="str">
        <f t="shared" si="2"/>
        <v>BB</v>
      </c>
      <c r="I37" s="5">
        <v>59.943999999999996</v>
      </c>
      <c r="J37" s="5">
        <f t="shared" si="3"/>
        <v>0</v>
      </c>
      <c r="K37" s="5">
        <v>0.94399999999999995</v>
      </c>
      <c r="L37" s="5">
        <v>74089193.756799996</v>
      </c>
      <c r="M37" s="5">
        <v>57</v>
      </c>
      <c r="N37" s="5">
        <v>31.6</v>
      </c>
      <c r="O37" s="5">
        <v>61.722000000000001</v>
      </c>
      <c r="P37" s="5">
        <v>168573727.36799997</v>
      </c>
      <c r="Q37" s="5">
        <v>1353571.4863999998</v>
      </c>
      <c r="R37" s="5">
        <v>793133.89759999991</v>
      </c>
      <c r="S37" s="5">
        <v>92.963999999999999</v>
      </c>
      <c r="T37" s="5">
        <f t="shared" si="4"/>
        <v>1</v>
      </c>
      <c r="U37" s="5">
        <f t="shared" si="5"/>
        <v>1</v>
      </c>
      <c r="V37" s="5">
        <f t="shared" si="6"/>
        <v>1</v>
      </c>
      <c r="W37" s="5">
        <v>121.15799999999999</v>
      </c>
      <c r="X37" s="5">
        <v>0.84799999999999998</v>
      </c>
    </row>
    <row r="38" spans="1:24" x14ac:dyDescent="0.25">
      <c r="A38" s="5" t="s">
        <v>362</v>
      </c>
      <c r="B38" s="5">
        <v>133.93475459999999</v>
      </c>
      <c r="C38" s="5">
        <v>17161.256000000001</v>
      </c>
      <c r="D38" s="6">
        <v>203.2</v>
      </c>
      <c r="E38" s="6">
        <v>203.2</v>
      </c>
      <c r="F38" s="5">
        <v>22.224999999999998</v>
      </c>
      <c r="G38" s="5">
        <f t="shared" si="1"/>
        <v>1</v>
      </c>
      <c r="H38" s="6" t="str">
        <f t="shared" si="2"/>
        <v>BB</v>
      </c>
      <c r="I38" s="5">
        <v>58.673999999999999</v>
      </c>
      <c r="J38" s="5">
        <f t="shared" si="3"/>
        <v>0</v>
      </c>
      <c r="K38" s="5">
        <v>0.83099999999999996</v>
      </c>
      <c r="L38" s="5">
        <v>66180796.670399994</v>
      </c>
      <c r="M38" s="5">
        <v>50.6</v>
      </c>
      <c r="N38" s="5">
        <v>28</v>
      </c>
      <c r="O38" s="5">
        <v>62.230000000000004</v>
      </c>
      <c r="P38" s="5">
        <v>124869427.67999999</v>
      </c>
      <c r="Q38" s="5">
        <v>1006165.7295999998</v>
      </c>
      <c r="R38" s="5">
        <v>614514.89999999991</v>
      </c>
      <c r="S38" s="5">
        <v>85.343999999999994</v>
      </c>
      <c r="T38" s="5">
        <f t="shared" si="4"/>
        <v>1</v>
      </c>
      <c r="U38" s="5">
        <f t="shared" si="5"/>
        <v>1</v>
      </c>
      <c r="V38" s="5">
        <f t="shared" si="6"/>
        <v>1</v>
      </c>
      <c r="W38" s="5">
        <v>115.82399999999998</v>
      </c>
      <c r="X38" s="5">
        <v>0.83099999999999996</v>
      </c>
    </row>
    <row r="39" spans="1:24" x14ac:dyDescent="0.25">
      <c r="A39" s="5" t="s">
        <v>363</v>
      </c>
      <c r="B39" s="5">
        <v>133.93475459999999</v>
      </c>
      <c r="C39" s="5">
        <v>17161.256000000001</v>
      </c>
      <c r="D39" s="6">
        <v>203.2</v>
      </c>
      <c r="E39" s="6">
        <v>203.2</v>
      </c>
      <c r="F39" s="5">
        <v>22.224999999999998</v>
      </c>
      <c r="G39" s="5">
        <f t="shared" si="1"/>
        <v>1</v>
      </c>
      <c r="H39" s="6" t="str">
        <f t="shared" si="2"/>
        <v>BB</v>
      </c>
      <c r="I39" s="5">
        <v>58.673999999999999</v>
      </c>
      <c r="J39" s="5">
        <f t="shared" si="3"/>
        <v>0</v>
      </c>
      <c r="K39" s="5">
        <v>0.83099999999999996</v>
      </c>
      <c r="L39" s="5">
        <v>66180796.670399994</v>
      </c>
      <c r="M39" s="5">
        <v>50.6</v>
      </c>
      <c r="N39" s="5">
        <v>28</v>
      </c>
      <c r="O39" s="5">
        <v>62.230000000000004</v>
      </c>
      <c r="P39" s="5">
        <v>135691444.74559999</v>
      </c>
      <c r="Q39" s="5">
        <v>1088101.0496</v>
      </c>
      <c r="R39" s="5">
        <v>652205.14719999989</v>
      </c>
      <c r="S39" s="5">
        <v>88.899999999999991</v>
      </c>
      <c r="T39" s="5">
        <f t="shared" si="4"/>
        <v>1</v>
      </c>
      <c r="U39" s="5">
        <f t="shared" si="5"/>
        <v>1</v>
      </c>
      <c r="V39" s="5">
        <f t="shared" si="6"/>
        <v>1</v>
      </c>
      <c r="W39" s="5">
        <v>118.36399999999999</v>
      </c>
      <c r="X39" s="5">
        <v>0.83799999999999997</v>
      </c>
    </row>
    <row r="40" spans="1:24" x14ac:dyDescent="0.25">
      <c r="A40" s="5" t="s">
        <v>364</v>
      </c>
      <c r="B40" s="5">
        <v>133.93475459999999</v>
      </c>
      <c r="C40" s="5">
        <v>17161.256000000001</v>
      </c>
      <c r="D40" s="6">
        <v>203.2</v>
      </c>
      <c r="E40" s="6">
        <v>203.2</v>
      </c>
      <c r="F40" s="5">
        <v>22.224999999999998</v>
      </c>
      <c r="G40" s="5">
        <f t="shared" si="1"/>
        <v>1</v>
      </c>
      <c r="H40" s="6" t="str">
        <f t="shared" si="2"/>
        <v>BB</v>
      </c>
      <c r="I40" s="5">
        <v>58.673999999999999</v>
      </c>
      <c r="J40" s="5">
        <f t="shared" si="3"/>
        <v>0</v>
      </c>
      <c r="K40" s="5">
        <v>0.83099999999999996</v>
      </c>
      <c r="L40" s="5">
        <v>66180796.670399994</v>
      </c>
      <c r="M40" s="5">
        <v>50.6</v>
      </c>
      <c r="N40" s="5">
        <v>28</v>
      </c>
      <c r="O40" s="5">
        <v>62.230000000000004</v>
      </c>
      <c r="P40" s="5">
        <v>146097230.38559997</v>
      </c>
      <c r="Q40" s="5">
        <v>1170036.3696000001</v>
      </c>
      <c r="R40" s="5">
        <v>686617.98159999994</v>
      </c>
      <c r="S40" s="5">
        <v>92.201999999999998</v>
      </c>
      <c r="T40" s="5">
        <f t="shared" si="4"/>
        <v>1</v>
      </c>
      <c r="U40" s="5">
        <f t="shared" si="5"/>
        <v>1</v>
      </c>
      <c r="V40" s="5">
        <f t="shared" si="6"/>
        <v>1</v>
      </c>
      <c r="W40" s="5">
        <v>120.90399999999998</v>
      </c>
      <c r="X40" s="5">
        <v>0.84499999999999997</v>
      </c>
    </row>
    <row r="41" spans="1:24" x14ac:dyDescent="0.25">
      <c r="A41" s="5" t="s">
        <v>365</v>
      </c>
      <c r="B41" s="5">
        <v>115.77915453199999</v>
      </c>
      <c r="C41" s="5">
        <v>14838.679999999998</v>
      </c>
      <c r="D41" s="6">
        <v>203.2</v>
      </c>
      <c r="E41" s="6">
        <v>203.2</v>
      </c>
      <c r="F41" s="5">
        <v>19.049999999999997</v>
      </c>
      <c r="G41" s="5">
        <f t="shared" si="1"/>
        <v>1</v>
      </c>
      <c r="H41" s="6" t="str">
        <f t="shared" si="2"/>
        <v>BB</v>
      </c>
      <c r="I41" s="5">
        <v>57.403999999999989</v>
      </c>
      <c r="J41" s="5">
        <f t="shared" si="3"/>
        <v>0</v>
      </c>
      <c r="K41" s="5">
        <v>0.71899999999999997</v>
      </c>
      <c r="L41" s="5">
        <v>58272399.583999991</v>
      </c>
      <c r="M41" s="5">
        <v>44</v>
      </c>
      <c r="N41" s="5">
        <v>24.4</v>
      </c>
      <c r="O41" s="5">
        <v>62.483999999999995</v>
      </c>
      <c r="P41" s="5">
        <v>106971476.3792</v>
      </c>
      <c r="Q41" s="5">
        <v>852127.32799999998</v>
      </c>
      <c r="R41" s="5">
        <v>526024.75439999998</v>
      </c>
      <c r="S41" s="5">
        <v>84.835999999999999</v>
      </c>
      <c r="T41" s="5">
        <f t="shared" si="4"/>
        <v>1</v>
      </c>
      <c r="U41" s="5">
        <f t="shared" si="5"/>
        <v>1</v>
      </c>
      <c r="V41" s="5">
        <f t="shared" si="6"/>
        <v>1</v>
      </c>
      <c r="W41" s="5">
        <v>115.82399999999998</v>
      </c>
      <c r="X41" s="5">
        <v>0.82899999999999996</v>
      </c>
    </row>
    <row r="42" spans="1:24" x14ac:dyDescent="0.25">
      <c r="A42" s="5" t="s">
        <v>366</v>
      </c>
      <c r="B42" s="5">
        <v>115.77915453199999</v>
      </c>
      <c r="C42" s="5">
        <v>14838.679999999998</v>
      </c>
      <c r="D42" s="6">
        <v>203.2</v>
      </c>
      <c r="E42" s="6">
        <v>203.2</v>
      </c>
      <c r="F42" s="5">
        <v>19.049999999999997</v>
      </c>
      <c r="G42" s="5">
        <f t="shared" si="1"/>
        <v>1</v>
      </c>
      <c r="H42" s="6" t="str">
        <f t="shared" si="2"/>
        <v>BB</v>
      </c>
      <c r="I42" s="5">
        <v>57.403999999999989</v>
      </c>
      <c r="J42" s="5">
        <f t="shared" si="3"/>
        <v>0</v>
      </c>
      <c r="K42" s="5">
        <v>0.71899999999999997</v>
      </c>
      <c r="L42" s="5">
        <v>58272399.583999991</v>
      </c>
      <c r="M42" s="5">
        <v>44</v>
      </c>
      <c r="N42" s="5">
        <v>24.4</v>
      </c>
      <c r="O42" s="5">
        <v>62.483999999999995</v>
      </c>
      <c r="P42" s="5">
        <v>115296104.89119999</v>
      </c>
      <c r="Q42" s="5">
        <v>922591.70319999987</v>
      </c>
      <c r="R42" s="5">
        <v>553882.76319999993</v>
      </c>
      <c r="S42" s="5">
        <v>88.138000000000005</v>
      </c>
      <c r="T42" s="5">
        <f t="shared" si="4"/>
        <v>1</v>
      </c>
      <c r="U42" s="5">
        <f t="shared" si="5"/>
        <v>1</v>
      </c>
      <c r="V42" s="5">
        <f t="shared" si="6"/>
        <v>1</v>
      </c>
      <c r="W42" s="5">
        <v>118.36399999999999</v>
      </c>
      <c r="X42" s="5">
        <v>0.83599999999999997</v>
      </c>
    </row>
    <row r="43" spans="1:24" x14ac:dyDescent="0.25">
      <c r="A43" s="5" t="s">
        <v>367</v>
      </c>
      <c r="B43" s="5">
        <v>115.77915453199999</v>
      </c>
      <c r="C43" s="5">
        <v>14838.679999999998</v>
      </c>
      <c r="D43" s="6">
        <v>203.2</v>
      </c>
      <c r="E43" s="6">
        <v>203.2</v>
      </c>
      <c r="F43" s="5">
        <v>19.049999999999997</v>
      </c>
      <c r="G43" s="5">
        <f t="shared" si="1"/>
        <v>1</v>
      </c>
      <c r="H43" s="6" t="str">
        <f t="shared" si="2"/>
        <v>BB</v>
      </c>
      <c r="I43" s="5">
        <v>57.403999999999989</v>
      </c>
      <c r="J43" s="5">
        <f t="shared" si="3"/>
        <v>0</v>
      </c>
      <c r="K43" s="5">
        <v>0.71899999999999997</v>
      </c>
      <c r="L43" s="5">
        <v>58272399.583999991</v>
      </c>
      <c r="M43" s="5">
        <v>44</v>
      </c>
      <c r="N43" s="5">
        <v>24.4</v>
      </c>
      <c r="O43" s="5">
        <v>62.483999999999995</v>
      </c>
      <c r="P43" s="5">
        <v>124869427.67999999</v>
      </c>
      <c r="Q43" s="5">
        <v>993056.07839999988</v>
      </c>
      <c r="R43" s="5">
        <v>586656.89119999995</v>
      </c>
      <c r="S43" s="5">
        <v>91.693999999999988</v>
      </c>
      <c r="T43" s="5">
        <f t="shared" si="4"/>
        <v>1</v>
      </c>
      <c r="U43" s="5">
        <f t="shared" si="5"/>
        <v>1</v>
      </c>
      <c r="V43" s="5">
        <f t="shared" si="6"/>
        <v>1</v>
      </c>
      <c r="W43" s="5">
        <v>120.90399999999998</v>
      </c>
      <c r="X43" s="5">
        <v>0.84299999999999997</v>
      </c>
    </row>
    <row r="44" spans="1:24" x14ac:dyDescent="0.25">
      <c r="A44" s="5" t="s">
        <v>368</v>
      </c>
      <c r="B44" s="5">
        <v>97.325921676000007</v>
      </c>
      <c r="C44" s="5">
        <v>12516.103999999999</v>
      </c>
      <c r="D44" s="6">
        <v>203.2</v>
      </c>
      <c r="E44" s="6">
        <v>203.2</v>
      </c>
      <c r="F44" s="5">
        <v>15.875</v>
      </c>
      <c r="G44" s="5">
        <f t="shared" si="1"/>
        <v>1</v>
      </c>
      <c r="H44" s="6" t="str">
        <f t="shared" si="2"/>
        <v>BB</v>
      </c>
      <c r="I44" s="5">
        <v>56.133999999999993</v>
      </c>
      <c r="J44" s="5">
        <f t="shared" si="3"/>
        <v>0</v>
      </c>
      <c r="K44" s="5">
        <v>0.60599999999999998</v>
      </c>
      <c r="L44" s="5">
        <v>49531539.646399997</v>
      </c>
      <c r="M44" s="5">
        <v>37.200000000000003</v>
      </c>
      <c r="N44" s="5">
        <v>20.6</v>
      </c>
      <c r="O44" s="5">
        <v>62.991999999999997</v>
      </c>
      <c r="P44" s="5">
        <v>89073525.078399986</v>
      </c>
      <c r="Q44" s="5">
        <v>701366.33919999993</v>
      </c>
      <c r="R44" s="5">
        <v>439173.31519999995</v>
      </c>
      <c r="S44" s="5">
        <v>84.327999999999989</v>
      </c>
      <c r="T44" s="5">
        <f t="shared" si="4"/>
        <v>1</v>
      </c>
      <c r="U44" s="5">
        <f t="shared" si="5"/>
        <v>1</v>
      </c>
      <c r="V44" s="5">
        <f t="shared" si="6"/>
        <v>1</v>
      </c>
      <c r="W44" s="5">
        <v>115.82399999999998</v>
      </c>
      <c r="X44" s="5">
        <v>0.82599999999999996</v>
      </c>
    </row>
    <row r="45" spans="1:24" x14ac:dyDescent="0.25">
      <c r="A45" s="5" t="s">
        <v>369</v>
      </c>
      <c r="B45" s="5">
        <v>97.325921676000007</v>
      </c>
      <c r="C45" s="5">
        <v>12516.103999999999</v>
      </c>
      <c r="D45" s="6">
        <v>203.2</v>
      </c>
      <c r="E45" s="6">
        <v>203.2</v>
      </c>
      <c r="F45" s="5">
        <v>15.875</v>
      </c>
      <c r="G45" s="5">
        <f t="shared" si="1"/>
        <v>1</v>
      </c>
      <c r="H45" s="6" t="str">
        <f t="shared" si="2"/>
        <v>BB</v>
      </c>
      <c r="I45" s="5">
        <v>56.133999999999993</v>
      </c>
      <c r="J45" s="5">
        <f t="shared" si="3"/>
        <v>0</v>
      </c>
      <c r="K45" s="5">
        <v>0.60599999999999998</v>
      </c>
      <c r="L45" s="5">
        <v>49531539.646399997</v>
      </c>
      <c r="M45" s="5">
        <v>37.200000000000003</v>
      </c>
      <c r="N45" s="5">
        <v>20.6</v>
      </c>
      <c r="O45" s="5">
        <v>62.991999999999997</v>
      </c>
      <c r="P45" s="5">
        <v>96149459.313599989</v>
      </c>
      <c r="Q45" s="5">
        <v>761998.47599999991</v>
      </c>
      <c r="R45" s="5">
        <v>462115.20479999995</v>
      </c>
      <c r="S45" s="5">
        <v>87.63</v>
      </c>
      <c r="T45" s="5">
        <f t="shared" si="4"/>
        <v>1</v>
      </c>
      <c r="U45" s="5">
        <f t="shared" si="5"/>
        <v>1</v>
      </c>
      <c r="V45" s="5">
        <f t="shared" si="6"/>
        <v>1</v>
      </c>
      <c r="W45" s="5">
        <v>118.36399999999999</v>
      </c>
      <c r="X45" s="5">
        <v>0.83299999999999996</v>
      </c>
    </row>
    <row r="46" spans="1:24" x14ac:dyDescent="0.25">
      <c r="A46" s="5" t="s">
        <v>370</v>
      </c>
      <c r="B46" s="5">
        <v>97.325921676000007</v>
      </c>
      <c r="C46" s="5">
        <v>12516.103999999999</v>
      </c>
      <c r="D46" s="6">
        <v>203.2</v>
      </c>
      <c r="E46" s="6">
        <v>203.2</v>
      </c>
      <c r="F46" s="5">
        <v>15.875</v>
      </c>
      <c r="G46" s="5">
        <f t="shared" si="1"/>
        <v>1</v>
      </c>
      <c r="H46" s="6" t="str">
        <f t="shared" si="2"/>
        <v>BB</v>
      </c>
      <c r="I46" s="5">
        <v>56.133999999999993</v>
      </c>
      <c r="J46" s="5">
        <f t="shared" si="3"/>
        <v>0</v>
      </c>
      <c r="K46" s="5">
        <v>0.60599999999999998</v>
      </c>
      <c r="L46" s="5">
        <v>49531539.646399997</v>
      </c>
      <c r="M46" s="5">
        <v>37.200000000000003</v>
      </c>
      <c r="N46" s="5">
        <v>20.6</v>
      </c>
      <c r="O46" s="5">
        <v>62.991999999999997</v>
      </c>
      <c r="P46" s="5">
        <v>103641624.97439998</v>
      </c>
      <c r="Q46" s="5">
        <v>820991.90639999998</v>
      </c>
      <c r="R46" s="5">
        <v>486695.80079999997</v>
      </c>
      <c r="S46" s="5">
        <v>90.932000000000002</v>
      </c>
      <c r="T46" s="5">
        <f t="shared" si="4"/>
        <v>1</v>
      </c>
      <c r="U46" s="5">
        <f t="shared" si="5"/>
        <v>1</v>
      </c>
      <c r="V46" s="5">
        <f t="shared" si="6"/>
        <v>1</v>
      </c>
      <c r="W46" s="5">
        <v>120.90399999999998</v>
      </c>
      <c r="X46" s="5">
        <v>0.84</v>
      </c>
    </row>
    <row r="47" spans="1:24" x14ac:dyDescent="0.25">
      <c r="A47" s="5" t="s">
        <v>371</v>
      </c>
      <c r="B47" s="5">
        <v>88.099305248000007</v>
      </c>
      <c r="C47" s="5">
        <v>11290.3</v>
      </c>
      <c r="D47" s="6">
        <v>203.2</v>
      </c>
      <c r="E47" s="6">
        <v>203.2</v>
      </c>
      <c r="F47" s="5">
        <v>14.300199999999998</v>
      </c>
      <c r="G47" s="5">
        <f t="shared" si="1"/>
        <v>1</v>
      </c>
      <c r="H47" s="6" t="str">
        <f t="shared" si="2"/>
        <v>BB</v>
      </c>
      <c r="I47" s="5">
        <v>55.625999999999998</v>
      </c>
      <c r="J47" s="5">
        <f t="shared" si="3"/>
        <v>0</v>
      </c>
      <c r="K47" s="5">
        <v>0.54800000000000004</v>
      </c>
      <c r="L47" s="5">
        <v>44952993.964799993</v>
      </c>
      <c r="M47" s="5">
        <v>33.6</v>
      </c>
      <c r="N47" s="5">
        <v>18.7</v>
      </c>
      <c r="O47" s="5">
        <v>63.246000000000002</v>
      </c>
      <c r="P47" s="5">
        <v>79916433.715199992</v>
      </c>
      <c r="Q47" s="5">
        <v>629263.2575999999</v>
      </c>
      <c r="R47" s="5">
        <v>393289.53599999996</v>
      </c>
      <c r="S47" s="5">
        <v>84.073999999999998</v>
      </c>
      <c r="T47" s="5">
        <f t="shared" si="4"/>
        <v>1</v>
      </c>
      <c r="U47" s="5">
        <f t="shared" si="5"/>
        <v>1</v>
      </c>
      <c r="V47" s="5">
        <f t="shared" si="6"/>
        <v>1</v>
      </c>
      <c r="W47" s="5">
        <v>115.82399999999998</v>
      </c>
      <c r="X47" s="5">
        <v>0.82499999999999996</v>
      </c>
    </row>
    <row r="48" spans="1:24" x14ac:dyDescent="0.25">
      <c r="A48" s="5" t="s">
        <v>372</v>
      </c>
      <c r="B48" s="5">
        <v>88.099305248000007</v>
      </c>
      <c r="C48" s="5">
        <v>11290.3</v>
      </c>
      <c r="D48" s="6">
        <v>203.2</v>
      </c>
      <c r="E48" s="6">
        <v>203.2</v>
      </c>
      <c r="F48" s="5">
        <v>14.300199999999998</v>
      </c>
      <c r="G48" s="5">
        <f t="shared" si="1"/>
        <v>1</v>
      </c>
      <c r="H48" s="6" t="str">
        <f t="shared" si="2"/>
        <v>BB</v>
      </c>
      <c r="I48" s="5">
        <v>55.625999999999998</v>
      </c>
      <c r="J48" s="5">
        <f t="shared" si="3"/>
        <v>0</v>
      </c>
      <c r="K48" s="5">
        <v>0.54800000000000004</v>
      </c>
      <c r="L48" s="5">
        <v>44952993.964799993</v>
      </c>
      <c r="M48" s="5">
        <v>33.6</v>
      </c>
      <c r="N48" s="5">
        <v>18.7</v>
      </c>
      <c r="O48" s="5">
        <v>63.246000000000002</v>
      </c>
      <c r="P48" s="5">
        <v>86159905.099199995</v>
      </c>
      <c r="Q48" s="5">
        <v>683340.56880000001</v>
      </c>
      <c r="R48" s="5">
        <v>414592.71919999999</v>
      </c>
      <c r="S48" s="5">
        <v>87.375999999999991</v>
      </c>
      <c r="T48" s="5">
        <f t="shared" si="4"/>
        <v>1</v>
      </c>
      <c r="U48" s="5">
        <f t="shared" si="5"/>
        <v>1</v>
      </c>
      <c r="V48" s="5">
        <f t="shared" si="6"/>
        <v>1</v>
      </c>
      <c r="W48" s="5">
        <v>118.11</v>
      </c>
      <c r="X48" s="5">
        <v>0.83199999999999996</v>
      </c>
    </row>
    <row r="49" spans="1:24" x14ac:dyDescent="0.25">
      <c r="A49" s="5" t="s">
        <v>373</v>
      </c>
      <c r="B49" s="5">
        <v>88.099305248000007</v>
      </c>
      <c r="C49" s="5">
        <v>11290.3</v>
      </c>
      <c r="D49" s="6">
        <v>203.2</v>
      </c>
      <c r="E49" s="6">
        <v>203.2</v>
      </c>
      <c r="F49" s="5">
        <v>14.300199999999998</v>
      </c>
      <c r="G49" s="5">
        <f t="shared" si="1"/>
        <v>1</v>
      </c>
      <c r="H49" s="6" t="str">
        <f t="shared" si="2"/>
        <v>BB</v>
      </c>
      <c r="I49" s="5">
        <v>55.625999999999998</v>
      </c>
      <c r="J49" s="5">
        <f t="shared" si="3"/>
        <v>0</v>
      </c>
      <c r="K49" s="5">
        <v>0.54800000000000004</v>
      </c>
      <c r="L49" s="5">
        <v>44952993.964799993</v>
      </c>
      <c r="M49" s="5">
        <v>33.6</v>
      </c>
      <c r="N49" s="5">
        <v>18.7</v>
      </c>
      <c r="O49" s="5">
        <v>63.246000000000002</v>
      </c>
      <c r="P49" s="5">
        <v>92819607.908799991</v>
      </c>
      <c r="Q49" s="5">
        <v>737417.87999999989</v>
      </c>
      <c r="R49" s="5">
        <v>435895.90239999996</v>
      </c>
      <c r="S49" s="5">
        <v>90.677999999999997</v>
      </c>
      <c r="T49" s="5">
        <f t="shared" si="4"/>
        <v>1</v>
      </c>
      <c r="U49" s="5">
        <f t="shared" si="5"/>
        <v>1</v>
      </c>
      <c r="V49" s="5">
        <f t="shared" si="6"/>
        <v>1</v>
      </c>
      <c r="W49" s="5">
        <v>120.64999999999999</v>
      </c>
      <c r="X49" s="5">
        <v>0.83899999999999997</v>
      </c>
    </row>
    <row r="50" spans="1:24" x14ac:dyDescent="0.25">
      <c r="A50" s="5" t="s">
        <v>374</v>
      </c>
      <c r="B50" s="5">
        <v>78.575056031999992</v>
      </c>
      <c r="C50" s="5">
        <v>10129.011999999999</v>
      </c>
      <c r="D50" s="6">
        <v>203.2</v>
      </c>
      <c r="E50" s="6">
        <v>203.2</v>
      </c>
      <c r="F50" s="5">
        <v>12.7</v>
      </c>
      <c r="G50" s="5">
        <f t="shared" si="1"/>
        <v>1</v>
      </c>
      <c r="H50" s="6" t="str">
        <f t="shared" si="2"/>
        <v>BB</v>
      </c>
      <c r="I50" s="5">
        <v>55.117999999999995</v>
      </c>
      <c r="J50" s="5">
        <f t="shared" si="3"/>
        <v>0</v>
      </c>
      <c r="K50" s="5">
        <v>0.49</v>
      </c>
      <c r="L50" s="5">
        <v>40624187.138559997</v>
      </c>
      <c r="M50" s="5">
        <v>30.2</v>
      </c>
      <c r="N50" s="5">
        <v>16.7</v>
      </c>
      <c r="O50" s="5">
        <v>63.246000000000002</v>
      </c>
      <c r="P50" s="5">
        <v>71175573.77759999</v>
      </c>
      <c r="Q50" s="5">
        <v>557160.17599999998</v>
      </c>
      <c r="R50" s="5">
        <v>350683.16959999996</v>
      </c>
      <c r="S50" s="5">
        <v>83.82</v>
      </c>
      <c r="T50" s="5">
        <f t="shared" si="4"/>
        <v>1</v>
      </c>
      <c r="U50" s="5">
        <f t="shared" si="5"/>
        <v>1</v>
      </c>
      <c r="V50" s="5">
        <f t="shared" si="6"/>
        <v>1</v>
      </c>
      <c r="W50" s="5">
        <v>115.82399999999998</v>
      </c>
      <c r="X50" s="5">
        <v>0.82399999999999995</v>
      </c>
    </row>
    <row r="51" spans="1:24" x14ac:dyDescent="0.25">
      <c r="A51" s="5" t="s">
        <v>375</v>
      </c>
      <c r="B51" s="5">
        <v>78.575056031999992</v>
      </c>
      <c r="C51" s="5">
        <v>10129.011999999999</v>
      </c>
      <c r="D51" s="6">
        <v>203.2</v>
      </c>
      <c r="E51" s="6">
        <v>203.2</v>
      </c>
      <c r="F51" s="5">
        <v>12.7</v>
      </c>
      <c r="G51" s="5">
        <f t="shared" si="1"/>
        <v>1</v>
      </c>
      <c r="H51" s="6" t="str">
        <f t="shared" si="2"/>
        <v>BB</v>
      </c>
      <c r="I51" s="5">
        <v>55.117999999999995</v>
      </c>
      <c r="J51" s="5">
        <f t="shared" si="3"/>
        <v>0</v>
      </c>
      <c r="K51" s="5">
        <v>0.49</v>
      </c>
      <c r="L51" s="5">
        <v>40624187.138559997</v>
      </c>
      <c r="M51" s="5">
        <v>30.2</v>
      </c>
      <c r="N51" s="5">
        <v>16.7</v>
      </c>
      <c r="O51" s="5">
        <v>63.246000000000002</v>
      </c>
      <c r="P51" s="5">
        <v>77002813.735999987</v>
      </c>
      <c r="Q51" s="5">
        <v>606321.3679999999</v>
      </c>
      <c r="R51" s="5">
        <v>370347.64639999997</v>
      </c>
      <c r="S51" s="5">
        <v>87.122</v>
      </c>
      <c r="T51" s="5">
        <f t="shared" si="4"/>
        <v>1</v>
      </c>
      <c r="U51" s="5">
        <f t="shared" si="5"/>
        <v>1</v>
      </c>
      <c r="V51" s="5">
        <f t="shared" si="6"/>
        <v>1</v>
      </c>
      <c r="W51" s="5">
        <v>118.11</v>
      </c>
      <c r="X51" s="5">
        <v>0.83099999999999996</v>
      </c>
    </row>
    <row r="52" spans="1:24" x14ac:dyDescent="0.25">
      <c r="A52" s="5" t="s">
        <v>376</v>
      </c>
      <c r="B52" s="5">
        <v>78.575056031999992</v>
      </c>
      <c r="C52" s="5">
        <v>10129.011999999999</v>
      </c>
      <c r="D52" s="6">
        <v>203.2</v>
      </c>
      <c r="E52" s="6">
        <v>203.2</v>
      </c>
      <c r="F52" s="5">
        <v>12.7</v>
      </c>
      <c r="G52" s="5">
        <f t="shared" si="1"/>
        <v>1</v>
      </c>
      <c r="H52" s="6" t="str">
        <f t="shared" si="2"/>
        <v>BB</v>
      </c>
      <c r="I52" s="5">
        <v>55.117999999999995</v>
      </c>
      <c r="J52" s="5">
        <f t="shared" si="3"/>
        <v>0</v>
      </c>
      <c r="K52" s="5">
        <v>0.49</v>
      </c>
      <c r="L52" s="5">
        <v>40624187.138559997</v>
      </c>
      <c r="M52" s="5">
        <v>30.2</v>
      </c>
      <c r="N52" s="5">
        <v>16.7</v>
      </c>
      <c r="O52" s="5">
        <v>63.246000000000002</v>
      </c>
      <c r="P52" s="5">
        <v>82830053.694399998</v>
      </c>
      <c r="Q52" s="5">
        <v>653843.85359999991</v>
      </c>
      <c r="R52" s="5">
        <v>390012.12319999997</v>
      </c>
      <c r="S52" s="5">
        <v>90.423999999999992</v>
      </c>
      <c r="T52" s="5">
        <f t="shared" si="4"/>
        <v>1</v>
      </c>
      <c r="U52" s="5">
        <f t="shared" si="5"/>
        <v>1</v>
      </c>
      <c r="V52" s="5">
        <f t="shared" si="6"/>
        <v>1</v>
      </c>
      <c r="W52" s="5">
        <v>120.64999999999999</v>
      </c>
      <c r="X52" s="5">
        <v>0.83699999999999997</v>
      </c>
    </row>
    <row r="53" spans="1:24" x14ac:dyDescent="0.25">
      <c r="A53" s="5" t="s">
        <v>377</v>
      </c>
      <c r="B53" s="5">
        <v>111.31466271199999</v>
      </c>
      <c r="C53" s="5">
        <v>14193.519999999999</v>
      </c>
      <c r="D53" s="6">
        <v>152.39999999999998</v>
      </c>
      <c r="E53" s="6">
        <v>152.39999999999998</v>
      </c>
      <c r="F53" s="5">
        <v>25.4</v>
      </c>
      <c r="G53" s="5">
        <f t="shared" si="1"/>
        <v>1</v>
      </c>
      <c r="H53" s="6" t="str">
        <f t="shared" si="2"/>
        <v>BB</v>
      </c>
      <c r="I53" s="5">
        <v>47.244</v>
      </c>
      <c r="J53" s="5">
        <f t="shared" si="3"/>
        <v>0</v>
      </c>
      <c r="K53" s="5">
        <v>0.91700000000000004</v>
      </c>
      <c r="L53" s="5">
        <v>29469184.932479996</v>
      </c>
      <c r="M53" s="5">
        <v>30.8</v>
      </c>
      <c r="N53" s="5">
        <v>17.100000000000001</v>
      </c>
      <c r="O53" s="5">
        <v>45.466000000000001</v>
      </c>
      <c r="P53" s="5">
        <v>60769788.137599997</v>
      </c>
      <c r="Q53" s="5">
        <v>670230.91759999993</v>
      </c>
      <c r="R53" s="5">
        <v>398205.65519999998</v>
      </c>
      <c r="S53" s="5">
        <v>65.531999999999996</v>
      </c>
      <c r="T53" s="5">
        <f t="shared" si="4"/>
        <v>1</v>
      </c>
      <c r="U53" s="5">
        <f t="shared" si="5"/>
        <v>1</v>
      </c>
      <c r="V53" s="5">
        <f t="shared" si="6"/>
        <v>1</v>
      </c>
      <c r="W53" s="5">
        <v>86.867999999999995</v>
      </c>
      <c r="X53" s="5">
        <v>0.84299999999999997</v>
      </c>
    </row>
    <row r="54" spans="1:24" x14ac:dyDescent="0.25">
      <c r="A54" s="5" t="s">
        <v>378</v>
      </c>
      <c r="B54" s="5">
        <v>111.31466271199999</v>
      </c>
      <c r="C54" s="5">
        <v>14193.519999999999</v>
      </c>
      <c r="D54" s="6">
        <v>152.39999999999998</v>
      </c>
      <c r="E54" s="6">
        <v>152.39999999999998</v>
      </c>
      <c r="F54" s="5">
        <v>25.4</v>
      </c>
      <c r="G54" s="5">
        <f t="shared" si="1"/>
        <v>1</v>
      </c>
      <c r="H54" s="6" t="str">
        <f t="shared" si="2"/>
        <v>BB</v>
      </c>
      <c r="I54" s="5">
        <v>47.244</v>
      </c>
      <c r="J54" s="5">
        <f t="shared" si="3"/>
        <v>0</v>
      </c>
      <c r="K54" s="5">
        <v>0.91700000000000004</v>
      </c>
      <c r="L54" s="5">
        <v>29469184.932479996</v>
      </c>
      <c r="M54" s="5">
        <v>30.8</v>
      </c>
      <c r="N54" s="5">
        <v>17.100000000000001</v>
      </c>
      <c r="O54" s="5">
        <v>45.466000000000001</v>
      </c>
      <c r="P54" s="5">
        <v>67845722.372799993</v>
      </c>
      <c r="Q54" s="5">
        <v>737417.87999999989</v>
      </c>
      <c r="R54" s="5">
        <v>430979.78319999995</v>
      </c>
      <c r="S54" s="5">
        <v>69.088000000000008</v>
      </c>
      <c r="T54" s="5">
        <f t="shared" si="4"/>
        <v>1</v>
      </c>
      <c r="U54" s="5">
        <f t="shared" si="5"/>
        <v>1</v>
      </c>
      <c r="V54" s="5">
        <f t="shared" si="6"/>
        <v>1</v>
      </c>
      <c r="W54" s="5">
        <v>89.661999999999992</v>
      </c>
      <c r="X54" s="5">
        <v>0.85199999999999998</v>
      </c>
    </row>
    <row r="55" spans="1:24" x14ac:dyDescent="0.25">
      <c r="A55" s="5" t="s">
        <v>379</v>
      </c>
      <c r="B55" s="5">
        <v>111.31466271199999</v>
      </c>
      <c r="C55" s="5">
        <v>14193.519999999999</v>
      </c>
      <c r="D55" s="6">
        <v>152.39999999999998</v>
      </c>
      <c r="E55" s="6">
        <v>152.39999999999998</v>
      </c>
      <c r="F55" s="5">
        <v>25.4</v>
      </c>
      <c r="G55" s="5">
        <f t="shared" si="1"/>
        <v>1</v>
      </c>
      <c r="H55" s="6" t="str">
        <f t="shared" si="2"/>
        <v>BB</v>
      </c>
      <c r="I55" s="5">
        <v>47.244</v>
      </c>
      <c r="J55" s="5">
        <f t="shared" si="3"/>
        <v>0</v>
      </c>
      <c r="K55" s="5">
        <v>0.91700000000000004</v>
      </c>
      <c r="L55" s="5">
        <v>29469184.932479996</v>
      </c>
      <c r="M55" s="5">
        <v>30.8</v>
      </c>
      <c r="N55" s="5">
        <v>17.100000000000001</v>
      </c>
      <c r="O55" s="5">
        <v>45.466000000000001</v>
      </c>
      <c r="P55" s="5">
        <v>74921656.607999995</v>
      </c>
      <c r="Q55" s="5">
        <v>806243.54879999999</v>
      </c>
      <c r="R55" s="5">
        <v>462115.20479999995</v>
      </c>
      <c r="S55" s="5">
        <v>72.643999999999991</v>
      </c>
      <c r="T55" s="5">
        <f t="shared" si="4"/>
        <v>1</v>
      </c>
      <c r="U55" s="5">
        <f t="shared" si="5"/>
        <v>1</v>
      </c>
      <c r="V55" s="5">
        <f t="shared" si="6"/>
        <v>1</v>
      </c>
      <c r="W55" s="5">
        <v>92.456000000000003</v>
      </c>
      <c r="X55" s="5">
        <v>0.86099999999999999</v>
      </c>
    </row>
    <row r="56" spans="1:24" x14ac:dyDescent="0.25">
      <c r="A56" s="5" t="s">
        <v>380</v>
      </c>
      <c r="B56" s="5">
        <v>98.516452827999998</v>
      </c>
      <c r="C56" s="5">
        <v>12580.619999999999</v>
      </c>
      <c r="D56" s="6">
        <v>152.39999999999998</v>
      </c>
      <c r="E56" s="6">
        <v>152.39999999999998</v>
      </c>
      <c r="F56" s="5">
        <v>22.224999999999998</v>
      </c>
      <c r="G56" s="5">
        <f t="shared" si="1"/>
        <v>1</v>
      </c>
      <c r="H56" s="6" t="str">
        <f t="shared" si="2"/>
        <v>BB</v>
      </c>
      <c r="I56" s="5">
        <v>45.973999999999997</v>
      </c>
      <c r="J56" s="5">
        <f t="shared" si="3"/>
        <v>0</v>
      </c>
      <c r="K56" s="5">
        <v>0.81299999999999994</v>
      </c>
      <c r="L56" s="5">
        <v>26555564.953279994</v>
      </c>
      <c r="M56" s="5">
        <v>27.4</v>
      </c>
      <c r="N56" s="5">
        <v>15.2</v>
      </c>
      <c r="O56" s="5">
        <v>45.973999999999997</v>
      </c>
      <c r="P56" s="5">
        <v>53277622.476799995</v>
      </c>
      <c r="Q56" s="5">
        <v>578463.35919999995</v>
      </c>
      <c r="R56" s="5">
        <v>349044.4632</v>
      </c>
      <c r="S56" s="5">
        <v>65.024000000000001</v>
      </c>
      <c r="T56" s="5">
        <f t="shared" si="4"/>
        <v>1</v>
      </c>
      <c r="U56" s="5">
        <f t="shared" si="5"/>
        <v>1</v>
      </c>
      <c r="V56" s="5">
        <f t="shared" si="6"/>
        <v>1</v>
      </c>
      <c r="W56" s="5">
        <v>86.867999999999995</v>
      </c>
      <c r="X56" s="5">
        <v>0.83899999999999997</v>
      </c>
    </row>
    <row r="57" spans="1:24" x14ac:dyDescent="0.25">
      <c r="A57" s="5" t="s">
        <v>381</v>
      </c>
      <c r="B57" s="5">
        <v>98.516452827999998</v>
      </c>
      <c r="C57" s="5">
        <v>12580.619999999999</v>
      </c>
      <c r="D57" s="6">
        <v>152.39999999999998</v>
      </c>
      <c r="E57" s="6">
        <v>152.39999999999998</v>
      </c>
      <c r="F57" s="5">
        <v>22.224999999999998</v>
      </c>
      <c r="G57" s="5">
        <f t="shared" si="1"/>
        <v>1</v>
      </c>
      <c r="H57" s="6" t="str">
        <f t="shared" si="2"/>
        <v>BB</v>
      </c>
      <c r="I57" s="5">
        <v>45.973999999999997</v>
      </c>
      <c r="J57" s="5">
        <f t="shared" si="3"/>
        <v>0</v>
      </c>
      <c r="K57" s="5">
        <v>0.81299999999999994</v>
      </c>
      <c r="L57" s="5">
        <v>26555564.953279994</v>
      </c>
      <c r="M57" s="5">
        <v>27.4</v>
      </c>
      <c r="N57" s="5">
        <v>15.2</v>
      </c>
      <c r="O57" s="5">
        <v>45.973999999999997</v>
      </c>
      <c r="P57" s="5">
        <v>59104862.435199991</v>
      </c>
      <c r="Q57" s="5">
        <v>639095.49599999993</v>
      </c>
      <c r="R57" s="5">
        <v>375263.76559999993</v>
      </c>
      <c r="S57" s="5">
        <v>68.58</v>
      </c>
      <c r="T57" s="5">
        <f t="shared" si="4"/>
        <v>1</v>
      </c>
      <c r="U57" s="5">
        <f t="shared" si="5"/>
        <v>1</v>
      </c>
      <c r="V57" s="5">
        <f t="shared" si="6"/>
        <v>1</v>
      </c>
      <c r="W57" s="5">
        <v>89.661999999999992</v>
      </c>
      <c r="X57" s="5">
        <v>0.84799999999999998</v>
      </c>
    </row>
    <row r="58" spans="1:24" x14ac:dyDescent="0.25">
      <c r="A58" s="5" t="s">
        <v>382</v>
      </c>
      <c r="B58" s="5">
        <v>98.516452827999998</v>
      </c>
      <c r="C58" s="5">
        <v>12580.619999999999</v>
      </c>
      <c r="D58" s="6">
        <v>152.39999999999998</v>
      </c>
      <c r="E58" s="6">
        <v>152.39999999999998</v>
      </c>
      <c r="F58" s="5">
        <v>22.224999999999998</v>
      </c>
      <c r="G58" s="5">
        <f t="shared" si="1"/>
        <v>1</v>
      </c>
      <c r="H58" s="6" t="str">
        <f t="shared" si="2"/>
        <v>BB</v>
      </c>
      <c r="I58" s="5">
        <v>45.973999999999997</v>
      </c>
      <c r="J58" s="5">
        <f t="shared" si="3"/>
        <v>0</v>
      </c>
      <c r="K58" s="5">
        <v>0.81299999999999994</v>
      </c>
      <c r="L58" s="5">
        <v>26555564.953279994</v>
      </c>
      <c r="M58" s="5">
        <v>27.4</v>
      </c>
      <c r="N58" s="5">
        <v>15.2</v>
      </c>
      <c r="O58" s="5">
        <v>45.973999999999997</v>
      </c>
      <c r="P58" s="5">
        <v>65348333.819199994</v>
      </c>
      <c r="Q58" s="5">
        <v>698088.9264</v>
      </c>
      <c r="R58" s="5">
        <v>403121.77439999999</v>
      </c>
      <c r="S58" s="5">
        <v>72.135999999999996</v>
      </c>
      <c r="T58" s="5">
        <f t="shared" si="4"/>
        <v>1</v>
      </c>
      <c r="U58" s="5">
        <f t="shared" si="5"/>
        <v>1</v>
      </c>
      <c r="V58" s="5">
        <f t="shared" si="6"/>
        <v>1</v>
      </c>
      <c r="W58" s="5">
        <v>92.201999999999998</v>
      </c>
      <c r="X58" s="5">
        <v>0.85699999999999998</v>
      </c>
    </row>
    <row r="59" spans="1:24" x14ac:dyDescent="0.25">
      <c r="A59" s="5" t="s">
        <v>383</v>
      </c>
      <c r="B59" s="5">
        <v>85.420610155999995</v>
      </c>
      <c r="C59" s="5">
        <v>10903.203999999998</v>
      </c>
      <c r="D59" s="6">
        <v>152.39999999999998</v>
      </c>
      <c r="E59" s="6">
        <v>152.39999999999998</v>
      </c>
      <c r="F59" s="5">
        <v>19.049999999999997</v>
      </c>
      <c r="G59" s="5">
        <f t="shared" si="1"/>
        <v>1</v>
      </c>
      <c r="H59" s="6" t="str">
        <f t="shared" si="2"/>
        <v>BB</v>
      </c>
      <c r="I59" s="5">
        <v>44.957999999999998</v>
      </c>
      <c r="J59" s="5">
        <f t="shared" si="3"/>
        <v>0</v>
      </c>
      <c r="K59" s="5">
        <v>0.70499999999999996</v>
      </c>
      <c r="L59" s="5">
        <v>23392206.118719999</v>
      </c>
      <c r="M59" s="5">
        <v>23.8</v>
      </c>
      <c r="N59" s="5">
        <v>13.3</v>
      </c>
      <c r="O59" s="5">
        <v>46.228000000000002</v>
      </c>
      <c r="P59" s="5">
        <v>45369225.390399992</v>
      </c>
      <c r="Q59" s="5">
        <v>489973.21359999996</v>
      </c>
      <c r="R59" s="5">
        <v>298244.56479999993</v>
      </c>
      <c r="S59" s="5">
        <v>64.515999999999991</v>
      </c>
      <c r="T59" s="5">
        <f t="shared" si="4"/>
        <v>1</v>
      </c>
      <c r="U59" s="5">
        <f t="shared" si="5"/>
        <v>1</v>
      </c>
      <c r="V59" s="5">
        <f t="shared" si="6"/>
        <v>1</v>
      </c>
      <c r="W59" s="5">
        <v>86.867999999999995</v>
      </c>
      <c r="X59" s="5">
        <v>0.83499999999999996</v>
      </c>
    </row>
    <row r="60" spans="1:24" x14ac:dyDescent="0.25">
      <c r="A60" s="5" t="s">
        <v>384</v>
      </c>
      <c r="B60" s="5">
        <v>85.420610155999995</v>
      </c>
      <c r="C60" s="5">
        <v>10903.203999999998</v>
      </c>
      <c r="D60" s="6">
        <v>152.39999999999998</v>
      </c>
      <c r="E60" s="6">
        <v>152.39999999999998</v>
      </c>
      <c r="F60" s="5">
        <v>19.049999999999997</v>
      </c>
      <c r="G60" s="5">
        <f t="shared" si="1"/>
        <v>1</v>
      </c>
      <c r="H60" s="6" t="str">
        <f t="shared" si="2"/>
        <v>BB</v>
      </c>
      <c r="I60" s="5">
        <v>44.957999999999998</v>
      </c>
      <c r="J60" s="5">
        <f t="shared" si="3"/>
        <v>0</v>
      </c>
      <c r="K60" s="5">
        <v>0.70499999999999996</v>
      </c>
      <c r="L60" s="5">
        <v>23392206.118719999</v>
      </c>
      <c r="M60" s="5">
        <v>23.8</v>
      </c>
      <c r="N60" s="5">
        <v>13.3</v>
      </c>
      <c r="O60" s="5">
        <v>46.228000000000002</v>
      </c>
      <c r="P60" s="5">
        <v>49947771.071999997</v>
      </c>
      <c r="Q60" s="5">
        <v>542411.81839999999</v>
      </c>
      <c r="R60" s="5">
        <v>317909.04159999994</v>
      </c>
      <c r="S60" s="5">
        <v>67.817999999999998</v>
      </c>
      <c r="T60" s="5">
        <f t="shared" si="4"/>
        <v>1</v>
      </c>
      <c r="U60" s="5">
        <f t="shared" si="5"/>
        <v>1</v>
      </c>
      <c r="V60" s="5">
        <f t="shared" si="6"/>
        <v>1</v>
      </c>
      <c r="W60" s="5">
        <v>89.408000000000001</v>
      </c>
      <c r="X60" s="5">
        <v>0.84399999999999997</v>
      </c>
    </row>
    <row r="61" spans="1:24" x14ac:dyDescent="0.25">
      <c r="A61" s="5" t="s">
        <v>385</v>
      </c>
      <c r="B61" s="5">
        <v>85.420610155999995</v>
      </c>
      <c r="C61" s="5">
        <v>10903.203999999998</v>
      </c>
      <c r="D61" s="6">
        <v>152.39999999999998</v>
      </c>
      <c r="E61" s="6">
        <v>152.39999999999998</v>
      </c>
      <c r="F61" s="5">
        <v>19.049999999999997</v>
      </c>
      <c r="G61" s="5">
        <f t="shared" si="1"/>
        <v>1</v>
      </c>
      <c r="H61" s="6" t="str">
        <f t="shared" si="2"/>
        <v>BB</v>
      </c>
      <c r="I61" s="5">
        <v>44.957999999999998</v>
      </c>
      <c r="J61" s="5">
        <f t="shared" si="3"/>
        <v>0</v>
      </c>
      <c r="K61" s="5">
        <v>0.70499999999999996</v>
      </c>
      <c r="L61" s="5">
        <v>23392206.118719999</v>
      </c>
      <c r="M61" s="5">
        <v>23.8</v>
      </c>
      <c r="N61" s="5">
        <v>13.3</v>
      </c>
      <c r="O61" s="5">
        <v>46.228000000000002</v>
      </c>
      <c r="P61" s="5">
        <v>55358779.604799993</v>
      </c>
      <c r="Q61" s="5">
        <v>594850.42319999984</v>
      </c>
      <c r="R61" s="5">
        <v>342489.63759999996</v>
      </c>
      <c r="S61" s="5">
        <v>71.373999999999995</v>
      </c>
      <c r="T61" s="5">
        <f t="shared" si="4"/>
        <v>1</v>
      </c>
      <c r="U61" s="5">
        <f t="shared" si="5"/>
        <v>1</v>
      </c>
      <c r="V61" s="5">
        <f t="shared" si="6"/>
        <v>1</v>
      </c>
      <c r="W61" s="5">
        <v>92.201999999999998</v>
      </c>
      <c r="X61" s="5">
        <v>0.85299999999999998</v>
      </c>
    </row>
    <row r="62" spans="1:24" x14ac:dyDescent="0.25">
      <c r="A62" s="5" t="s">
        <v>386</v>
      </c>
      <c r="B62" s="5">
        <v>72.02713469599999</v>
      </c>
      <c r="C62" s="5">
        <v>9225.7880000000005</v>
      </c>
      <c r="D62" s="6">
        <v>152.39999999999998</v>
      </c>
      <c r="E62" s="6">
        <v>152.39999999999998</v>
      </c>
      <c r="F62" s="5">
        <v>15.875</v>
      </c>
      <c r="G62" s="5">
        <f t="shared" si="1"/>
        <v>1</v>
      </c>
      <c r="H62" s="6" t="str">
        <f t="shared" si="2"/>
        <v>BB</v>
      </c>
      <c r="I62" s="5">
        <v>43.687999999999995</v>
      </c>
      <c r="J62" s="5">
        <f t="shared" si="3"/>
        <v>0</v>
      </c>
      <c r="K62" s="5">
        <v>0.59399999999999997</v>
      </c>
      <c r="L62" s="5">
        <v>20062354.713920001</v>
      </c>
      <c r="M62" s="5">
        <v>20.2</v>
      </c>
      <c r="N62" s="5">
        <v>11.3</v>
      </c>
      <c r="O62" s="5">
        <v>46.735999999999997</v>
      </c>
      <c r="P62" s="5">
        <v>37793813.444479994</v>
      </c>
      <c r="Q62" s="5">
        <v>401483.06799999997</v>
      </c>
      <c r="R62" s="5">
        <v>247444.66639999996</v>
      </c>
      <c r="S62" s="5">
        <v>64.007999999999996</v>
      </c>
      <c r="T62" s="5">
        <f t="shared" si="4"/>
        <v>1</v>
      </c>
      <c r="U62" s="5">
        <f t="shared" si="5"/>
        <v>1</v>
      </c>
      <c r="V62" s="5">
        <f t="shared" si="6"/>
        <v>1</v>
      </c>
      <c r="W62" s="5">
        <v>86.867999999999995</v>
      </c>
      <c r="X62" s="5">
        <v>0.83099999999999996</v>
      </c>
    </row>
    <row r="63" spans="1:24" x14ac:dyDescent="0.25">
      <c r="A63" s="5" t="s">
        <v>387</v>
      </c>
      <c r="B63" s="5">
        <v>72.02713469599999</v>
      </c>
      <c r="C63" s="5">
        <v>9225.7880000000005</v>
      </c>
      <c r="D63" s="6">
        <v>152.39999999999998</v>
      </c>
      <c r="E63" s="6">
        <v>152.39999999999998</v>
      </c>
      <c r="F63" s="5">
        <v>15.875</v>
      </c>
      <c r="G63" s="5">
        <f t="shared" si="1"/>
        <v>1</v>
      </c>
      <c r="H63" s="6" t="str">
        <f t="shared" si="2"/>
        <v>BB</v>
      </c>
      <c r="I63" s="5">
        <v>43.687999999999995</v>
      </c>
      <c r="J63" s="5">
        <f t="shared" si="3"/>
        <v>0</v>
      </c>
      <c r="K63" s="5">
        <v>0.59399999999999997</v>
      </c>
      <c r="L63" s="5">
        <v>20062354.713920001</v>
      </c>
      <c r="M63" s="5">
        <v>20.2</v>
      </c>
      <c r="N63" s="5">
        <v>11.3</v>
      </c>
      <c r="O63" s="5">
        <v>46.735999999999997</v>
      </c>
      <c r="P63" s="5">
        <v>41623142.559999995</v>
      </c>
      <c r="Q63" s="5">
        <v>445728.14079999994</v>
      </c>
      <c r="R63" s="5">
        <v>265470.43679999997</v>
      </c>
      <c r="S63" s="5">
        <v>67.309999999999988</v>
      </c>
      <c r="T63" s="5">
        <f t="shared" si="4"/>
        <v>1</v>
      </c>
      <c r="U63" s="5">
        <f t="shared" si="5"/>
        <v>1</v>
      </c>
      <c r="V63" s="5">
        <f t="shared" si="6"/>
        <v>1</v>
      </c>
      <c r="W63" s="5">
        <v>89.408000000000001</v>
      </c>
      <c r="X63" s="5">
        <v>0.84</v>
      </c>
    </row>
    <row r="64" spans="1:24" x14ac:dyDescent="0.25">
      <c r="A64" s="5" t="s">
        <v>388</v>
      </c>
      <c r="B64" s="5">
        <v>72.02713469599999</v>
      </c>
      <c r="C64" s="5">
        <v>9225.7880000000005</v>
      </c>
      <c r="D64" s="6">
        <v>152.39999999999998</v>
      </c>
      <c r="E64" s="6">
        <v>152.39999999999998</v>
      </c>
      <c r="F64" s="5">
        <v>15.875</v>
      </c>
      <c r="G64" s="5">
        <f t="shared" si="1"/>
        <v>1</v>
      </c>
      <c r="H64" s="6" t="str">
        <f t="shared" si="2"/>
        <v>BB</v>
      </c>
      <c r="I64" s="5">
        <v>43.687999999999995</v>
      </c>
      <c r="J64" s="5">
        <f t="shared" si="3"/>
        <v>0</v>
      </c>
      <c r="K64" s="5">
        <v>0.59399999999999997</v>
      </c>
      <c r="L64" s="5">
        <v>20062354.713920001</v>
      </c>
      <c r="M64" s="5">
        <v>20.2</v>
      </c>
      <c r="N64" s="5">
        <v>11.3</v>
      </c>
      <c r="O64" s="5">
        <v>46.735999999999997</v>
      </c>
      <c r="P64" s="5">
        <v>46201688.241599992</v>
      </c>
      <c r="Q64" s="5">
        <v>489973.21359999996</v>
      </c>
      <c r="R64" s="5">
        <v>285134.91359999997</v>
      </c>
      <c r="S64" s="5">
        <v>70.866</v>
      </c>
      <c r="T64" s="5">
        <f t="shared" si="4"/>
        <v>1</v>
      </c>
      <c r="U64" s="5">
        <f t="shared" si="5"/>
        <v>1</v>
      </c>
      <c r="V64" s="5">
        <f t="shared" si="6"/>
        <v>1</v>
      </c>
      <c r="W64" s="5">
        <v>91.947999999999993</v>
      </c>
      <c r="X64" s="5">
        <v>0.84899999999999998</v>
      </c>
    </row>
    <row r="65" spans="1:24" x14ac:dyDescent="0.25">
      <c r="A65" s="5" t="s">
        <v>389</v>
      </c>
      <c r="B65" s="5">
        <v>65.181580571999987</v>
      </c>
      <c r="C65" s="5">
        <v>8322.5640000000003</v>
      </c>
      <c r="D65" s="6">
        <v>152.39999999999998</v>
      </c>
      <c r="E65" s="6">
        <v>152.39999999999998</v>
      </c>
      <c r="F65" s="5">
        <v>14.300199999999998</v>
      </c>
      <c r="G65" s="5">
        <f t="shared" si="1"/>
        <v>1</v>
      </c>
      <c r="H65" s="6" t="str">
        <f t="shared" si="2"/>
        <v>BB</v>
      </c>
      <c r="I65" s="5">
        <v>43.18</v>
      </c>
      <c r="J65" s="5">
        <f t="shared" si="3"/>
        <v>0</v>
      </c>
      <c r="K65" s="5">
        <v>0.53800000000000003</v>
      </c>
      <c r="L65" s="5">
        <v>18314182.726399999</v>
      </c>
      <c r="M65" s="5">
        <v>18.399999999999999</v>
      </c>
      <c r="N65" s="5">
        <v>10.199999999999999</v>
      </c>
      <c r="O65" s="5">
        <v>46.99</v>
      </c>
      <c r="P65" s="5">
        <v>33839614.901279993</v>
      </c>
      <c r="Q65" s="5">
        <v>358876.70159999997</v>
      </c>
      <c r="R65" s="5">
        <v>222864.07039999997</v>
      </c>
      <c r="S65" s="5">
        <v>63.753999999999991</v>
      </c>
      <c r="T65" s="5">
        <f t="shared" si="4"/>
        <v>1</v>
      </c>
      <c r="U65" s="5">
        <f t="shared" si="5"/>
        <v>1</v>
      </c>
      <c r="V65" s="5">
        <f t="shared" si="6"/>
        <v>1</v>
      </c>
      <c r="W65" s="5">
        <v>86.867999999999995</v>
      </c>
      <c r="X65" s="5">
        <v>0.82899999999999996</v>
      </c>
    </row>
    <row r="66" spans="1:24" x14ac:dyDescent="0.25">
      <c r="A66" s="5" t="s">
        <v>390</v>
      </c>
      <c r="B66" s="5">
        <v>65.181580571999987</v>
      </c>
      <c r="C66" s="5">
        <v>8322.5640000000003</v>
      </c>
      <c r="D66" s="6">
        <v>152.39999999999998</v>
      </c>
      <c r="E66" s="6">
        <v>152.39999999999998</v>
      </c>
      <c r="F66" s="5">
        <v>14.300199999999998</v>
      </c>
      <c r="G66" s="5">
        <f t="shared" si="1"/>
        <v>1</v>
      </c>
      <c r="H66" s="6" t="str">
        <f t="shared" si="2"/>
        <v>BB</v>
      </c>
      <c r="I66" s="5">
        <v>43.18</v>
      </c>
      <c r="J66" s="5">
        <f t="shared" si="3"/>
        <v>0</v>
      </c>
      <c r="K66" s="5">
        <v>0.53800000000000003</v>
      </c>
      <c r="L66" s="5">
        <v>18314182.726399999</v>
      </c>
      <c r="M66" s="5">
        <v>18.399999999999999</v>
      </c>
      <c r="N66" s="5">
        <v>10.199999999999999</v>
      </c>
      <c r="O66" s="5">
        <v>46.99</v>
      </c>
      <c r="P66" s="5">
        <v>37419205.16144</v>
      </c>
      <c r="Q66" s="5">
        <v>398205.65519999998</v>
      </c>
      <c r="R66" s="5">
        <v>237612.42799999999</v>
      </c>
      <c r="S66" s="5">
        <v>67.055999999999997</v>
      </c>
      <c r="T66" s="5">
        <f t="shared" si="4"/>
        <v>1</v>
      </c>
      <c r="U66" s="5">
        <f t="shared" si="5"/>
        <v>1</v>
      </c>
      <c r="V66" s="5">
        <f t="shared" si="6"/>
        <v>1</v>
      </c>
      <c r="W66" s="5">
        <v>89.408000000000001</v>
      </c>
      <c r="X66" s="5">
        <v>0.83799999999999997</v>
      </c>
    </row>
    <row r="67" spans="1:24" x14ac:dyDescent="0.25">
      <c r="A67" s="5" t="s">
        <v>391</v>
      </c>
      <c r="B67" s="5">
        <v>65.181580571999987</v>
      </c>
      <c r="C67" s="5">
        <v>8322.5640000000003</v>
      </c>
      <c r="D67" s="6">
        <v>152.39999999999998</v>
      </c>
      <c r="E67" s="6">
        <v>152.39999999999998</v>
      </c>
      <c r="F67" s="5">
        <v>14.300199999999998</v>
      </c>
      <c r="G67" s="5">
        <f t="shared" si="1"/>
        <v>1</v>
      </c>
      <c r="H67" s="6" t="str">
        <f t="shared" si="2"/>
        <v>BB</v>
      </c>
      <c r="I67" s="5">
        <v>43.18</v>
      </c>
      <c r="J67" s="5">
        <f t="shared" si="3"/>
        <v>0</v>
      </c>
      <c r="K67" s="5">
        <v>0.53800000000000003</v>
      </c>
      <c r="L67" s="5">
        <v>18314182.726399999</v>
      </c>
      <c r="M67" s="5">
        <v>18.399999999999999</v>
      </c>
      <c r="N67" s="5">
        <v>10.199999999999999</v>
      </c>
      <c r="O67" s="5">
        <v>46.99</v>
      </c>
      <c r="P67" s="5">
        <v>41498273.132319994</v>
      </c>
      <c r="Q67" s="5">
        <v>439173.31519999995</v>
      </c>
      <c r="R67" s="5">
        <v>255638.19839999996</v>
      </c>
      <c r="S67" s="5">
        <v>70.611999999999995</v>
      </c>
      <c r="T67" s="5">
        <f t="shared" si="4"/>
        <v>1</v>
      </c>
      <c r="U67" s="5">
        <f t="shared" si="5"/>
        <v>1</v>
      </c>
      <c r="V67" s="5">
        <f t="shared" si="6"/>
        <v>1</v>
      </c>
      <c r="W67" s="5">
        <v>91.947999999999993</v>
      </c>
      <c r="X67" s="5">
        <v>0.84699999999999998</v>
      </c>
    </row>
    <row r="68" spans="1:24" x14ac:dyDescent="0.25">
      <c r="A68" s="5" t="s">
        <v>392</v>
      </c>
      <c r="B68" s="5">
        <v>58.336026448000005</v>
      </c>
      <c r="C68" s="5">
        <v>7419.3399999999992</v>
      </c>
      <c r="D68" s="6">
        <v>152.39999999999998</v>
      </c>
      <c r="E68" s="6">
        <v>152.39999999999998</v>
      </c>
      <c r="F68" s="5">
        <v>12.7</v>
      </c>
      <c r="G68" s="5">
        <f t="shared" ref="G68:G131" si="7">G67</f>
        <v>1</v>
      </c>
      <c r="H68" s="6" t="str">
        <f t="shared" ref="H68:H131" si="8">H67</f>
        <v>BB</v>
      </c>
      <c r="I68" s="5">
        <v>42.417999999999999</v>
      </c>
      <c r="J68" s="5">
        <f t="shared" ref="J68:J131" si="9">J67</f>
        <v>0</v>
      </c>
      <c r="K68" s="5">
        <v>0.48099999999999998</v>
      </c>
      <c r="L68" s="5">
        <v>16566010.738879997</v>
      </c>
      <c r="M68" s="5">
        <v>16.399999999999999</v>
      </c>
      <c r="N68" s="5">
        <v>9.18</v>
      </c>
      <c r="O68" s="5">
        <v>47.244</v>
      </c>
      <c r="P68" s="5">
        <v>29927039.500640001</v>
      </c>
      <c r="Q68" s="5">
        <v>316270.33519999997</v>
      </c>
      <c r="R68" s="5">
        <v>196644.76799999998</v>
      </c>
      <c r="S68" s="5">
        <v>63.5</v>
      </c>
      <c r="T68" s="5">
        <f t="shared" ref="T68:T131" si="10">T67</f>
        <v>1</v>
      </c>
      <c r="U68" s="5">
        <f t="shared" ref="U68:U131" si="11">U67</f>
        <v>1</v>
      </c>
      <c r="V68" s="5">
        <f t="shared" ref="V68:V131" si="12">V67</f>
        <v>1</v>
      </c>
      <c r="W68" s="5">
        <v>86.867999999999995</v>
      </c>
      <c r="X68" s="5">
        <v>0.82699999999999996</v>
      </c>
    </row>
    <row r="69" spans="1:24" x14ac:dyDescent="0.25">
      <c r="A69" s="5" t="s">
        <v>393</v>
      </c>
      <c r="B69" s="5">
        <v>58.336026448000005</v>
      </c>
      <c r="C69" s="5">
        <v>7419.3399999999992</v>
      </c>
      <c r="D69" s="6">
        <v>152.39999999999998</v>
      </c>
      <c r="E69" s="6">
        <v>152.39999999999998</v>
      </c>
      <c r="F69" s="5">
        <v>12.7</v>
      </c>
      <c r="G69" s="5">
        <f t="shared" si="7"/>
        <v>1</v>
      </c>
      <c r="H69" s="6" t="str">
        <f t="shared" si="8"/>
        <v>BB</v>
      </c>
      <c r="I69" s="5">
        <v>42.417999999999999</v>
      </c>
      <c r="J69" s="5">
        <f t="shared" si="9"/>
        <v>0</v>
      </c>
      <c r="K69" s="5">
        <v>0.48099999999999998</v>
      </c>
      <c r="L69" s="5">
        <v>16566010.738879997</v>
      </c>
      <c r="M69" s="5">
        <v>16.399999999999999</v>
      </c>
      <c r="N69" s="5">
        <v>9.18</v>
      </c>
      <c r="O69" s="5">
        <v>47.244</v>
      </c>
      <c r="P69" s="5">
        <v>33090398.335199997</v>
      </c>
      <c r="Q69" s="5">
        <v>350683.16959999996</v>
      </c>
      <c r="R69" s="5">
        <v>209754.4192</v>
      </c>
      <c r="S69" s="5">
        <v>66.801999999999992</v>
      </c>
      <c r="T69" s="5">
        <f t="shared" si="10"/>
        <v>1</v>
      </c>
      <c r="U69" s="5">
        <f t="shared" si="11"/>
        <v>1</v>
      </c>
      <c r="V69" s="5">
        <f t="shared" si="12"/>
        <v>1</v>
      </c>
      <c r="W69" s="5">
        <v>89.408000000000001</v>
      </c>
      <c r="X69" s="5">
        <v>0.83599999999999997</v>
      </c>
    </row>
    <row r="70" spans="1:24" x14ac:dyDescent="0.25">
      <c r="A70" s="5" t="s">
        <v>394</v>
      </c>
      <c r="B70" s="5">
        <v>58.336026448000005</v>
      </c>
      <c r="C70" s="5">
        <v>7419.3399999999992</v>
      </c>
      <c r="D70" s="6">
        <v>152.39999999999998</v>
      </c>
      <c r="E70" s="6">
        <v>152.39999999999998</v>
      </c>
      <c r="F70" s="5">
        <v>12.7</v>
      </c>
      <c r="G70" s="5">
        <f t="shared" si="7"/>
        <v>1</v>
      </c>
      <c r="H70" s="6" t="str">
        <f t="shared" si="8"/>
        <v>BB</v>
      </c>
      <c r="I70" s="5">
        <v>42.417999999999999</v>
      </c>
      <c r="J70" s="5">
        <f t="shared" si="9"/>
        <v>0</v>
      </c>
      <c r="K70" s="5">
        <v>0.48099999999999998</v>
      </c>
      <c r="L70" s="5">
        <v>16566010.738879997</v>
      </c>
      <c r="M70" s="5">
        <v>16.399999999999999</v>
      </c>
      <c r="N70" s="5">
        <v>9.18</v>
      </c>
      <c r="O70" s="5">
        <v>47.244</v>
      </c>
      <c r="P70" s="5">
        <v>36461872.882559992</v>
      </c>
      <c r="Q70" s="5">
        <v>386734.71039999998</v>
      </c>
      <c r="R70" s="5">
        <v>224502.77679999996</v>
      </c>
      <c r="S70" s="5">
        <v>70.103999999999985</v>
      </c>
      <c r="T70" s="5">
        <f t="shared" si="10"/>
        <v>1</v>
      </c>
      <c r="U70" s="5">
        <f t="shared" si="11"/>
        <v>1</v>
      </c>
      <c r="V70" s="5">
        <f t="shared" si="12"/>
        <v>1</v>
      </c>
      <c r="W70" s="5">
        <v>91.947999999999993</v>
      </c>
      <c r="X70" s="5">
        <v>0.84599999999999997</v>
      </c>
    </row>
    <row r="71" spans="1:24" x14ac:dyDescent="0.25">
      <c r="A71" s="5" t="s">
        <v>395</v>
      </c>
      <c r="B71" s="5">
        <v>51.192839535999994</v>
      </c>
      <c r="C71" s="5">
        <v>6580.6319999999996</v>
      </c>
      <c r="D71" s="6">
        <v>152.39999999999998</v>
      </c>
      <c r="E71" s="6">
        <v>152.39999999999998</v>
      </c>
      <c r="F71" s="5">
        <v>11.1252</v>
      </c>
      <c r="G71" s="5">
        <f t="shared" si="7"/>
        <v>1</v>
      </c>
      <c r="H71" s="6" t="str">
        <f t="shared" si="8"/>
        <v>BB</v>
      </c>
      <c r="I71" s="5">
        <v>41.91</v>
      </c>
      <c r="J71" s="5">
        <f t="shared" si="9"/>
        <v>0</v>
      </c>
      <c r="K71" s="5">
        <v>0.42299999999999999</v>
      </c>
      <c r="L71" s="5">
        <v>14651346.181119999</v>
      </c>
      <c r="M71" s="5">
        <v>14.5</v>
      </c>
      <c r="N71" s="5">
        <v>8.1199999999999992</v>
      </c>
      <c r="O71" s="5">
        <v>47.244</v>
      </c>
      <c r="P71" s="5">
        <v>26305826.097919997</v>
      </c>
      <c r="Q71" s="5">
        <v>275302.6752</v>
      </c>
      <c r="R71" s="5">
        <v>172064.17199999999</v>
      </c>
      <c r="S71" s="5">
        <v>63.246000000000002</v>
      </c>
      <c r="T71" s="5">
        <f t="shared" si="10"/>
        <v>1</v>
      </c>
      <c r="U71" s="5">
        <f t="shared" si="11"/>
        <v>1</v>
      </c>
      <c r="V71" s="5">
        <f t="shared" si="12"/>
        <v>1</v>
      </c>
      <c r="W71" s="5">
        <v>86.867999999999995</v>
      </c>
      <c r="X71" s="5">
        <v>0.82599999999999996</v>
      </c>
    </row>
    <row r="72" spans="1:24" x14ac:dyDescent="0.25">
      <c r="A72" s="5" t="s">
        <v>396</v>
      </c>
      <c r="B72" s="5">
        <v>51.192839535999994</v>
      </c>
      <c r="C72" s="5">
        <v>6580.6319999999996</v>
      </c>
      <c r="D72" s="6">
        <v>152.39999999999998</v>
      </c>
      <c r="E72" s="6">
        <v>152.39999999999998</v>
      </c>
      <c r="F72" s="5">
        <v>11.1252</v>
      </c>
      <c r="G72" s="5">
        <f t="shared" si="7"/>
        <v>1</v>
      </c>
      <c r="H72" s="6" t="str">
        <f t="shared" si="8"/>
        <v>BB</v>
      </c>
      <c r="I72" s="5">
        <v>41.91</v>
      </c>
      <c r="J72" s="5">
        <f t="shared" si="9"/>
        <v>0</v>
      </c>
      <c r="K72" s="5">
        <v>0.42299999999999999</v>
      </c>
      <c r="L72" s="5">
        <v>14651346.181119999</v>
      </c>
      <c r="M72" s="5">
        <v>14.5</v>
      </c>
      <c r="N72" s="5">
        <v>8.1199999999999992</v>
      </c>
      <c r="O72" s="5">
        <v>47.244</v>
      </c>
      <c r="P72" s="5">
        <v>29136199.791999996</v>
      </c>
      <c r="Q72" s="5">
        <v>306438.09679999994</v>
      </c>
      <c r="R72" s="5">
        <v>185173.82319999998</v>
      </c>
      <c r="S72" s="5">
        <v>66.548000000000002</v>
      </c>
      <c r="T72" s="5">
        <f t="shared" si="10"/>
        <v>1</v>
      </c>
      <c r="U72" s="5">
        <f t="shared" si="11"/>
        <v>1</v>
      </c>
      <c r="V72" s="5">
        <f t="shared" si="12"/>
        <v>1</v>
      </c>
      <c r="W72" s="5">
        <v>89.408000000000001</v>
      </c>
      <c r="X72" s="5">
        <v>0.83499999999999996</v>
      </c>
    </row>
    <row r="73" spans="1:24" x14ac:dyDescent="0.25">
      <c r="A73" s="5" t="s">
        <v>397</v>
      </c>
      <c r="B73" s="5">
        <v>51.192839535999994</v>
      </c>
      <c r="C73" s="5">
        <v>6580.6319999999996</v>
      </c>
      <c r="D73" s="6">
        <v>152.39999999999998</v>
      </c>
      <c r="E73" s="6">
        <v>152.39999999999998</v>
      </c>
      <c r="F73" s="5">
        <v>11.1252</v>
      </c>
      <c r="G73" s="5">
        <f t="shared" si="7"/>
        <v>1</v>
      </c>
      <c r="H73" s="6" t="str">
        <f t="shared" si="8"/>
        <v>BB</v>
      </c>
      <c r="I73" s="5">
        <v>41.91</v>
      </c>
      <c r="J73" s="5">
        <f t="shared" si="9"/>
        <v>0</v>
      </c>
      <c r="K73" s="5">
        <v>0.42299999999999999</v>
      </c>
      <c r="L73" s="5">
        <v>14651346.181119999</v>
      </c>
      <c r="M73" s="5">
        <v>14.5</v>
      </c>
      <c r="N73" s="5">
        <v>8.1199999999999992</v>
      </c>
      <c r="O73" s="5">
        <v>47.244</v>
      </c>
      <c r="P73" s="5">
        <v>32091442.913759995</v>
      </c>
      <c r="Q73" s="5">
        <v>337573.5184</v>
      </c>
      <c r="R73" s="5">
        <v>198283.47439999998</v>
      </c>
      <c r="S73" s="5">
        <v>69.849999999999994</v>
      </c>
      <c r="T73" s="5">
        <f t="shared" si="10"/>
        <v>1</v>
      </c>
      <c r="U73" s="5">
        <f t="shared" si="11"/>
        <v>1</v>
      </c>
      <c r="V73" s="5">
        <f t="shared" si="12"/>
        <v>1</v>
      </c>
      <c r="W73" s="5">
        <v>91.947999999999993</v>
      </c>
      <c r="X73" s="5">
        <v>0.84399999999999997</v>
      </c>
    </row>
    <row r="74" spans="1:24" x14ac:dyDescent="0.25">
      <c r="A74" s="5" t="s">
        <v>398</v>
      </c>
      <c r="B74" s="5">
        <v>44.347285411999998</v>
      </c>
      <c r="C74" s="5">
        <v>5651.6016</v>
      </c>
      <c r="D74" s="6">
        <v>152.39999999999998</v>
      </c>
      <c r="E74" s="6">
        <v>152.39999999999998</v>
      </c>
      <c r="F74" s="5">
        <v>9.5249999999999986</v>
      </c>
      <c r="G74" s="5">
        <f t="shared" si="7"/>
        <v>1</v>
      </c>
      <c r="H74" s="6" t="str">
        <f t="shared" si="8"/>
        <v>BB</v>
      </c>
      <c r="I74" s="5">
        <v>41.148000000000003</v>
      </c>
      <c r="J74" s="5">
        <f t="shared" si="9"/>
        <v>0</v>
      </c>
      <c r="K74" s="5">
        <v>0.36499999999999999</v>
      </c>
      <c r="L74" s="5">
        <v>12819927.90848</v>
      </c>
      <c r="M74" s="5">
        <v>12.5</v>
      </c>
      <c r="N74" s="5">
        <v>7.02</v>
      </c>
      <c r="O74" s="5">
        <v>47.497999999999998</v>
      </c>
      <c r="P74" s="5">
        <v>22434873.839839999</v>
      </c>
      <c r="Q74" s="5">
        <v>232696.30879999997</v>
      </c>
      <c r="R74" s="5">
        <v>147155.83471999998</v>
      </c>
      <c r="S74" s="5">
        <v>62.991999999999997</v>
      </c>
      <c r="T74" s="5">
        <f t="shared" si="10"/>
        <v>1</v>
      </c>
      <c r="U74" s="5">
        <f t="shared" si="11"/>
        <v>1</v>
      </c>
      <c r="V74" s="5">
        <f t="shared" si="12"/>
        <v>1</v>
      </c>
      <c r="W74" s="5">
        <v>86.867999999999995</v>
      </c>
      <c r="X74" s="5">
        <v>0.82399999999999995</v>
      </c>
    </row>
    <row r="75" spans="1:24" x14ac:dyDescent="0.25">
      <c r="A75" s="5" t="s">
        <v>399</v>
      </c>
      <c r="B75" s="5">
        <v>44.347285411999998</v>
      </c>
      <c r="C75" s="5">
        <v>5651.6016</v>
      </c>
      <c r="D75" s="6">
        <v>152.39999999999998</v>
      </c>
      <c r="E75" s="6">
        <v>152.39999999999998</v>
      </c>
      <c r="F75" s="5">
        <v>9.5249999999999986</v>
      </c>
      <c r="G75" s="5">
        <f t="shared" si="7"/>
        <v>1</v>
      </c>
      <c r="H75" s="6" t="str">
        <f t="shared" si="8"/>
        <v>BB</v>
      </c>
      <c r="I75" s="5">
        <v>41.148000000000003</v>
      </c>
      <c r="J75" s="5">
        <f t="shared" si="9"/>
        <v>0</v>
      </c>
      <c r="K75" s="5">
        <v>0.36499999999999999</v>
      </c>
      <c r="L75" s="5">
        <v>12819927.90848</v>
      </c>
      <c r="M75" s="5">
        <v>12.5</v>
      </c>
      <c r="N75" s="5">
        <v>7.02</v>
      </c>
      <c r="O75" s="5">
        <v>47.497999999999998</v>
      </c>
      <c r="P75" s="5">
        <v>24640900.395519998</v>
      </c>
      <c r="Q75" s="5">
        <v>258915.61119999998</v>
      </c>
      <c r="R75" s="5">
        <v>156824.20247999998</v>
      </c>
      <c r="S75" s="5">
        <v>66.039999999999992</v>
      </c>
      <c r="T75" s="5">
        <f t="shared" si="10"/>
        <v>1</v>
      </c>
      <c r="U75" s="5">
        <f t="shared" si="11"/>
        <v>1</v>
      </c>
      <c r="V75" s="5">
        <f t="shared" si="12"/>
        <v>1</v>
      </c>
      <c r="W75" s="5">
        <v>89.153999999999996</v>
      </c>
      <c r="X75" s="5">
        <v>0.83299999999999996</v>
      </c>
    </row>
    <row r="76" spans="1:24" x14ac:dyDescent="0.25">
      <c r="A76" s="5" t="s">
        <v>400</v>
      </c>
      <c r="B76" s="5">
        <v>44.347285411999998</v>
      </c>
      <c r="C76" s="5">
        <v>5651.6016</v>
      </c>
      <c r="D76" s="6">
        <v>152.39999999999998</v>
      </c>
      <c r="E76" s="6">
        <v>152.39999999999998</v>
      </c>
      <c r="F76" s="5">
        <v>9.5249999999999986</v>
      </c>
      <c r="G76" s="5">
        <f t="shared" si="7"/>
        <v>1</v>
      </c>
      <c r="H76" s="6" t="str">
        <f t="shared" si="8"/>
        <v>BB</v>
      </c>
      <c r="I76" s="5">
        <v>41.148000000000003</v>
      </c>
      <c r="J76" s="5">
        <f t="shared" si="9"/>
        <v>0</v>
      </c>
      <c r="K76" s="5">
        <v>0.36499999999999999</v>
      </c>
      <c r="L76" s="5">
        <v>12819927.90848</v>
      </c>
      <c r="M76" s="5">
        <v>12.5</v>
      </c>
      <c r="N76" s="5">
        <v>7.02</v>
      </c>
      <c r="O76" s="5">
        <v>47.497999999999998</v>
      </c>
      <c r="P76" s="5">
        <v>27388027.804479998</v>
      </c>
      <c r="Q76" s="5">
        <v>286773.62</v>
      </c>
      <c r="R76" s="5">
        <v>168786.7592</v>
      </c>
      <c r="S76" s="5">
        <v>69.596000000000004</v>
      </c>
      <c r="T76" s="5">
        <f t="shared" si="10"/>
        <v>1</v>
      </c>
      <c r="U76" s="5">
        <f t="shared" si="11"/>
        <v>1</v>
      </c>
      <c r="V76" s="5">
        <f t="shared" si="12"/>
        <v>1</v>
      </c>
      <c r="W76" s="5">
        <v>91.693999999999988</v>
      </c>
      <c r="X76" s="5">
        <v>0.84199999999999997</v>
      </c>
    </row>
    <row r="77" spans="1:24" x14ac:dyDescent="0.25">
      <c r="A77" s="5" t="s">
        <v>401</v>
      </c>
      <c r="B77" s="5">
        <v>36.906465711999999</v>
      </c>
      <c r="C77" s="5">
        <v>4735.4744000000001</v>
      </c>
      <c r="D77" s="6">
        <v>152.39999999999998</v>
      </c>
      <c r="E77" s="6">
        <v>152.39999999999998</v>
      </c>
      <c r="F77" s="5">
        <v>7.9501999999999997</v>
      </c>
      <c r="G77" s="5">
        <f t="shared" si="7"/>
        <v>1</v>
      </c>
      <c r="H77" s="6" t="str">
        <f t="shared" si="8"/>
        <v>BB</v>
      </c>
      <c r="I77" s="5">
        <v>40.64</v>
      </c>
      <c r="J77" s="5">
        <f t="shared" si="9"/>
        <v>0</v>
      </c>
      <c r="K77" s="5">
        <v>0.30599999999999999</v>
      </c>
      <c r="L77" s="5">
        <v>10822017.065599998</v>
      </c>
      <c r="M77" s="5">
        <v>10.5</v>
      </c>
      <c r="N77" s="5">
        <v>5.9</v>
      </c>
      <c r="O77" s="5">
        <v>47.751999999999995</v>
      </c>
      <c r="P77" s="5">
        <v>18647167.866879996</v>
      </c>
      <c r="Q77" s="5">
        <v>191728.64879999997</v>
      </c>
      <c r="R77" s="5">
        <v>122411.36807999999</v>
      </c>
      <c r="S77" s="5">
        <v>62.738</v>
      </c>
      <c r="T77" s="5">
        <f t="shared" si="10"/>
        <v>1</v>
      </c>
      <c r="U77" s="5">
        <f t="shared" si="11"/>
        <v>1</v>
      </c>
      <c r="V77" s="5">
        <f t="shared" si="12"/>
        <v>1</v>
      </c>
      <c r="W77" s="5">
        <v>86.867999999999995</v>
      </c>
      <c r="X77" s="5">
        <v>0.82299999999999995</v>
      </c>
    </row>
    <row r="78" spans="1:24" x14ac:dyDescent="0.25">
      <c r="A78" s="5" t="s">
        <v>402</v>
      </c>
      <c r="B78" s="5">
        <v>36.906465711999999</v>
      </c>
      <c r="C78" s="5">
        <v>4735.4744000000001</v>
      </c>
      <c r="D78" s="6">
        <v>152.39999999999998</v>
      </c>
      <c r="E78" s="6">
        <v>152.39999999999998</v>
      </c>
      <c r="F78" s="5">
        <v>7.9501999999999997</v>
      </c>
      <c r="G78" s="5">
        <f t="shared" si="7"/>
        <v>1</v>
      </c>
      <c r="H78" s="6" t="str">
        <f t="shared" si="8"/>
        <v>BB</v>
      </c>
      <c r="I78" s="5">
        <v>40.64</v>
      </c>
      <c r="J78" s="5">
        <f t="shared" si="9"/>
        <v>0</v>
      </c>
      <c r="K78" s="5">
        <v>0.30599999999999999</v>
      </c>
      <c r="L78" s="5">
        <v>10822017.065599998</v>
      </c>
      <c r="M78" s="5">
        <v>10.5</v>
      </c>
      <c r="N78" s="5">
        <v>5.9</v>
      </c>
      <c r="O78" s="5">
        <v>47.751999999999995</v>
      </c>
      <c r="P78" s="5">
        <v>20478586.139520001</v>
      </c>
      <c r="Q78" s="5">
        <v>214670.53839999996</v>
      </c>
      <c r="R78" s="5">
        <v>130277.15879999999</v>
      </c>
      <c r="S78" s="5">
        <v>65.785999999999987</v>
      </c>
      <c r="T78" s="5">
        <f t="shared" si="10"/>
        <v>1</v>
      </c>
      <c r="U78" s="5">
        <f t="shared" si="11"/>
        <v>1</v>
      </c>
      <c r="V78" s="5">
        <f t="shared" si="12"/>
        <v>1</v>
      </c>
      <c r="W78" s="5">
        <v>89.153999999999996</v>
      </c>
      <c r="X78" s="5">
        <v>0.83199999999999996</v>
      </c>
    </row>
    <row r="79" spans="1:24" x14ac:dyDescent="0.25">
      <c r="A79" s="5" t="s">
        <v>403</v>
      </c>
      <c r="B79" s="5">
        <v>36.906465711999999</v>
      </c>
      <c r="C79" s="5">
        <v>4735.4744000000001</v>
      </c>
      <c r="D79" s="6">
        <v>152.39999999999998</v>
      </c>
      <c r="E79" s="6">
        <v>152.39999999999998</v>
      </c>
      <c r="F79" s="5">
        <v>7.9501999999999997</v>
      </c>
      <c r="G79" s="5">
        <f t="shared" si="7"/>
        <v>1</v>
      </c>
      <c r="H79" s="6" t="str">
        <f t="shared" si="8"/>
        <v>BB</v>
      </c>
      <c r="I79" s="5">
        <v>40.64</v>
      </c>
      <c r="J79" s="5">
        <f t="shared" si="9"/>
        <v>0</v>
      </c>
      <c r="K79" s="5">
        <v>0.30599999999999999</v>
      </c>
      <c r="L79" s="5">
        <v>10822017.065599998</v>
      </c>
      <c r="M79" s="5">
        <v>10.5</v>
      </c>
      <c r="N79" s="5">
        <v>5.9</v>
      </c>
      <c r="O79" s="5">
        <v>47.751999999999995</v>
      </c>
      <c r="P79" s="5">
        <v>22601366.410079997</v>
      </c>
      <c r="Q79" s="5">
        <v>237612.42799999999</v>
      </c>
      <c r="R79" s="5">
        <v>139617.78527999998</v>
      </c>
      <c r="S79" s="5">
        <v>69.088000000000008</v>
      </c>
      <c r="T79" s="5">
        <f t="shared" si="10"/>
        <v>1</v>
      </c>
      <c r="U79" s="5">
        <f t="shared" si="11"/>
        <v>1</v>
      </c>
      <c r="V79" s="5">
        <f t="shared" si="12"/>
        <v>1</v>
      </c>
      <c r="W79" s="5">
        <v>91.693999999999988</v>
      </c>
      <c r="X79" s="5">
        <v>0.84099999999999997</v>
      </c>
    </row>
    <row r="80" spans="1:24" x14ac:dyDescent="0.25">
      <c r="A80" s="5" t="s">
        <v>404</v>
      </c>
      <c r="B80" s="5">
        <v>80.956118336000003</v>
      </c>
      <c r="C80" s="5">
        <v>10322.56</v>
      </c>
      <c r="D80" s="6">
        <v>127</v>
      </c>
      <c r="E80" s="6">
        <v>127</v>
      </c>
      <c r="F80" s="5">
        <v>22.224999999999998</v>
      </c>
      <c r="G80" s="5">
        <f t="shared" si="7"/>
        <v>1</v>
      </c>
      <c r="H80" s="6" t="str">
        <f t="shared" si="8"/>
        <v>BB</v>
      </c>
      <c r="I80" s="5">
        <v>39.624000000000002</v>
      </c>
      <c r="J80" s="5">
        <f t="shared" si="9"/>
        <v>0</v>
      </c>
      <c r="K80" s="5">
        <v>0.8</v>
      </c>
      <c r="L80" s="5">
        <v>14817838.751359999</v>
      </c>
      <c r="M80" s="5">
        <v>18.600000000000001</v>
      </c>
      <c r="N80" s="5">
        <v>10.3</v>
      </c>
      <c r="O80" s="5">
        <v>37.845999999999997</v>
      </c>
      <c r="P80" s="5">
        <v>31050864.349759996</v>
      </c>
      <c r="Q80" s="5">
        <v>409676.6</v>
      </c>
      <c r="R80" s="5">
        <v>244167.2536</v>
      </c>
      <c r="S80" s="5">
        <v>54.863999999999997</v>
      </c>
      <c r="T80" s="5">
        <f t="shared" si="10"/>
        <v>1</v>
      </c>
      <c r="U80" s="5">
        <f t="shared" si="11"/>
        <v>1</v>
      </c>
      <c r="V80" s="5">
        <f t="shared" si="12"/>
        <v>1</v>
      </c>
      <c r="W80" s="5">
        <v>72.39</v>
      </c>
      <c r="X80" s="5">
        <v>0.84499999999999997</v>
      </c>
    </row>
    <row r="81" spans="1:24" x14ac:dyDescent="0.25">
      <c r="A81" s="5" t="s">
        <v>405</v>
      </c>
      <c r="B81" s="5">
        <v>80.956118336000003</v>
      </c>
      <c r="C81" s="5">
        <v>10322.56</v>
      </c>
      <c r="D81" s="6">
        <v>127</v>
      </c>
      <c r="E81" s="6">
        <v>127</v>
      </c>
      <c r="F81" s="5">
        <v>22.224999999999998</v>
      </c>
      <c r="G81" s="5">
        <f t="shared" si="7"/>
        <v>1</v>
      </c>
      <c r="H81" s="6" t="str">
        <f t="shared" si="8"/>
        <v>BB</v>
      </c>
      <c r="I81" s="5">
        <v>39.624000000000002</v>
      </c>
      <c r="J81" s="5">
        <f t="shared" si="9"/>
        <v>0</v>
      </c>
      <c r="K81" s="5">
        <v>0.8</v>
      </c>
      <c r="L81" s="5">
        <v>14817838.751359999</v>
      </c>
      <c r="M81" s="5">
        <v>18.600000000000001</v>
      </c>
      <c r="N81" s="5">
        <v>10.3</v>
      </c>
      <c r="O81" s="5">
        <v>37.845999999999997</v>
      </c>
      <c r="P81" s="5">
        <v>35213178.605759993</v>
      </c>
      <c r="Q81" s="5">
        <v>458837.79199999996</v>
      </c>
      <c r="R81" s="5">
        <v>267109.14319999999</v>
      </c>
      <c r="S81" s="5">
        <v>58.419999999999995</v>
      </c>
      <c r="T81" s="5">
        <f t="shared" si="10"/>
        <v>1</v>
      </c>
      <c r="U81" s="5">
        <f t="shared" si="11"/>
        <v>1</v>
      </c>
      <c r="V81" s="5">
        <f t="shared" si="12"/>
        <v>1</v>
      </c>
      <c r="W81" s="5">
        <v>75.183999999999997</v>
      </c>
      <c r="X81" s="5">
        <v>0.85599999999999998</v>
      </c>
    </row>
    <row r="82" spans="1:24" x14ac:dyDescent="0.25">
      <c r="A82" s="5" t="s">
        <v>406</v>
      </c>
      <c r="B82" s="5">
        <v>80.956118336000003</v>
      </c>
      <c r="C82" s="5">
        <v>10322.56</v>
      </c>
      <c r="D82" s="6">
        <v>127</v>
      </c>
      <c r="E82" s="6">
        <v>127</v>
      </c>
      <c r="F82" s="5">
        <v>22.224999999999998</v>
      </c>
      <c r="G82" s="5">
        <f t="shared" si="7"/>
        <v>1</v>
      </c>
      <c r="H82" s="6" t="str">
        <f t="shared" si="8"/>
        <v>BB</v>
      </c>
      <c r="I82" s="5">
        <v>39.624000000000002</v>
      </c>
      <c r="J82" s="5">
        <f t="shared" si="9"/>
        <v>0</v>
      </c>
      <c r="K82" s="5">
        <v>0.8</v>
      </c>
      <c r="L82" s="5">
        <v>14817838.751359999</v>
      </c>
      <c r="M82" s="5">
        <v>18.600000000000001</v>
      </c>
      <c r="N82" s="5">
        <v>10.3</v>
      </c>
      <c r="O82" s="5">
        <v>37.845999999999997</v>
      </c>
      <c r="P82" s="5">
        <v>39666854.859679997</v>
      </c>
      <c r="Q82" s="5">
        <v>507998.98399999994</v>
      </c>
      <c r="R82" s="5">
        <v>290051.03279999999</v>
      </c>
      <c r="S82" s="5">
        <v>61.975999999999992</v>
      </c>
      <c r="T82" s="5">
        <f t="shared" si="10"/>
        <v>1</v>
      </c>
      <c r="U82" s="5">
        <f t="shared" si="11"/>
        <v>1</v>
      </c>
      <c r="V82" s="5">
        <f t="shared" si="12"/>
        <v>1</v>
      </c>
      <c r="W82" s="5">
        <v>77.977999999999994</v>
      </c>
      <c r="X82" s="5">
        <v>0.86599999999999999</v>
      </c>
    </row>
    <row r="83" spans="1:24" x14ac:dyDescent="0.25">
      <c r="A83" s="5" t="s">
        <v>407</v>
      </c>
      <c r="B83" s="5">
        <v>70.241337967999996</v>
      </c>
      <c r="C83" s="5">
        <v>9032.24</v>
      </c>
      <c r="D83" s="6">
        <v>127</v>
      </c>
      <c r="E83" s="6">
        <v>127</v>
      </c>
      <c r="F83" s="5">
        <v>19.049999999999997</v>
      </c>
      <c r="G83" s="5">
        <f t="shared" si="7"/>
        <v>1</v>
      </c>
      <c r="H83" s="6" t="str">
        <f t="shared" si="8"/>
        <v>BB</v>
      </c>
      <c r="I83" s="5">
        <v>38.607999999999997</v>
      </c>
      <c r="J83" s="5">
        <f t="shared" si="9"/>
        <v>0</v>
      </c>
      <c r="K83" s="5">
        <v>0.69799999999999995</v>
      </c>
      <c r="L83" s="5">
        <v>13069666.763839997</v>
      </c>
      <c r="M83" s="5">
        <v>16.3</v>
      </c>
      <c r="N83" s="5">
        <v>9.0399999999999991</v>
      </c>
      <c r="O83" s="5">
        <v>38.099999999999994</v>
      </c>
      <c r="P83" s="5">
        <v>26430695.525599997</v>
      </c>
      <c r="Q83" s="5">
        <v>347405.75679999997</v>
      </c>
      <c r="R83" s="5">
        <v>208115.71279999998</v>
      </c>
      <c r="S83" s="5">
        <v>54.101999999999997</v>
      </c>
      <c r="T83" s="5">
        <f t="shared" si="10"/>
        <v>1</v>
      </c>
      <c r="U83" s="5">
        <f t="shared" si="11"/>
        <v>1</v>
      </c>
      <c r="V83" s="5">
        <f t="shared" si="12"/>
        <v>1</v>
      </c>
      <c r="W83" s="5">
        <v>72.39</v>
      </c>
      <c r="X83" s="5">
        <v>0.84</v>
      </c>
    </row>
    <row r="84" spans="1:24" x14ac:dyDescent="0.25">
      <c r="A84" s="5" t="s">
        <v>408</v>
      </c>
      <c r="B84" s="5">
        <v>70.241337967999996</v>
      </c>
      <c r="C84" s="5">
        <v>9032.24</v>
      </c>
      <c r="D84" s="6">
        <v>127</v>
      </c>
      <c r="E84" s="6">
        <v>127</v>
      </c>
      <c r="F84" s="5">
        <v>19.049999999999997</v>
      </c>
      <c r="G84" s="5">
        <f t="shared" si="7"/>
        <v>1</v>
      </c>
      <c r="H84" s="6" t="str">
        <f t="shared" si="8"/>
        <v>BB</v>
      </c>
      <c r="I84" s="5">
        <v>38.607999999999997</v>
      </c>
      <c r="J84" s="5">
        <f t="shared" si="9"/>
        <v>0</v>
      </c>
      <c r="K84" s="5">
        <v>0.69799999999999995</v>
      </c>
      <c r="L84" s="5">
        <v>13069666.763839997</v>
      </c>
      <c r="M84" s="5">
        <v>16.3</v>
      </c>
      <c r="N84" s="5">
        <v>9.0399999999999991</v>
      </c>
      <c r="O84" s="5">
        <v>38.099999999999994</v>
      </c>
      <c r="P84" s="5">
        <v>30010285.785759993</v>
      </c>
      <c r="Q84" s="5">
        <v>390012.12319999997</v>
      </c>
      <c r="R84" s="5">
        <v>227780.18959999998</v>
      </c>
      <c r="S84" s="5">
        <v>57.657999999999994</v>
      </c>
      <c r="T84" s="5">
        <f t="shared" si="10"/>
        <v>1</v>
      </c>
      <c r="U84" s="5">
        <f t="shared" si="11"/>
        <v>1</v>
      </c>
      <c r="V84" s="5">
        <f t="shared" si="12"/>
        <v>1</v>
      </c>
      <c r="W84" s="5">
        <v>74.930000000000007</v>
      </c>
      <c r="X84" s="5">
        <v>0.85099999999999998</v>
      </c>
    </row>
    <row r="85" spans="1:24" x14ac:dyDescent="0.25">
      <c r="A85" s="5" t="s">
        <v>409</v>
      </c>
      <c r="B85" s="5">
        <v>70.241337967999996</v>
      </c>
      <c r="C85" s="5">
        <v>9032.24</v>
      </c>
      <c r="D85" s="6">
        <v>127</v>
      </c>
      <c r="E85" s="6">
        <v>127</v>
      </c>
      <c r="F85" s="5">
        <v>19.049999999999997</v>
      </c>
      <c r="G85" s="5">
        <f t="shared" si="7"/>
        <v>1</v>
      </c>
      <c r="H85" s="6" t="str">
        <f t="shared" si="8"/>
        <v>BB</v>
      </c>
      <c r="I85" s="5">
        <v>38.607999999999997</v>
      </c>
      <c r="J85" s="5">
        <f t="shared" si="9"/>
        <v>0</v>
      </c>
      <c r="K85" s="5">
        <v>0.69799999999999995</v>
      </c>
      <c r="L85" s="5">
        <v>13069666.763839997</v>
      </c>
      <c r="M85" s="5">
        <v>16.3</v>
      </c>
      <c r="N85" s="5">
        <v>9.0399999999999991</v>
      </c>
      <c r="O85" s="5">
        <v>38.099999999999994</v>
      </c>
      <c r="P85" s="5">
        <v>33839614.901279993</v>
      </c>
      <c r="Q85" s="5">
        <v>434257.19599999994</v>
      </c>
      <c r="R85" s="5">
        <v>247444.66639999996</v>
      </c>
      <c r="S85" s="5">
        <v>61.213999999999999</v>
      </c>
      <c r="T85" s="5">
        <f t="shared" si="10"/>
        <v>1</v>
      </c>
      <c r="U85" s="5">
        <f t="shared" si="11"/>
        <v>1</v>
      </c>
      <c r="V85" s="5">
        <f t="shared" si="12"/>
        <v>1</v>
      </c>
      <c r="W85" s="5">
        <v>77.724000000000004</v>
      </c>
      <c r="X85" s="5">
        <v>0.86099999999999999</v>
      </c>
    </row>
    <row r="86" spans="1:24" x14ac:dyDescent="0.25">
      <c r="A86" s="5" t="s">
        <v>410</v>
      </c>
      <c r="B86" s="5">
        <v>59.526557599999997</v>
      </c>
      <c r="C86" s="5">
        <v>7612.8879999999999</v>
      </c>
      <c r="D86" s="6">
        <v>127</v>
      </c>
      <c r="E86" s="6">
        <v>127</v>
      </c>
      <c r="F86" s="5">
        <v>15.875</v>
      </c>
      <c r="G86" s="5">
        <f t="shared" si="7"/>
        <v>1</v>
      </c>
      <c r="H86" s="6" t="str">
        <f t="shared" si="8"/>
        <v>BB</v>
      </c>
      <c r="I86" s="5">
        <v>37.337999999999994</v>
      </c>
      <c r="J86" s="5">
        <f t="shared" si="9"/>
        <v>0</v>
      </c>
      <c r="K86" s="5">
        <v>0.59</v>
      </c>
      <c r="L86" s="5">
        <v>11321494.776319999</v>
      </c>
      <c r="M86" s="5">
        <v>13.9</v>
      </c>
      <c r="N86" s="5">
        <v>7.7</v>
      </c>
      <c r="O86" s="5">
        <v>38.607999999999997</v>
      </c>
      <c r="P86" s="5">
        <v>21852149.843999997</v>
      </c>
      <c r="Q86" s="5">
        <v>283496.2072</v>
      </c>
      <c r="R86" s="5">
        <v>172064.17199999999</v>
      </c>
      <c r="S86" s="5">
        <v>53.593999999999994</v>
      </c>
      <c r="T86" s="5">
        <f t="shared" si="10"/>
        <v>1</v>
      </c>
      <c r="U86" s="5">
        <f t="shared" si="11"/>
        <v>1</v>
      </c>
      <c r="V86" s="5">
        <f t="shared" si="12"/>
        <v>1</v>
      </c>
      <c r="W86" s="5">
        <v>72.39</v>
      </c>
      <c r="X86" s="5">
        <v>0.83499999999999996</v>
      </c>
    </row>
    <row r="87" spans="1:24" x14ac:dyDescent="0.25">
      <c r="A87" s="5" t="s">
        <v>411</v>
      </c>
      <c r="B87" s="5">
        <v>59.526557599999997</v>
      </c>
      <c r="C87" s="5">
        <v>7612.8879999999999</v>
      </c>
      <c r="D87" s="6">
        <v>127</v>
      </c>
      <c r="E87" s="6">
        <v>127</v>
      </c>
      <c r="F87" s="5">
        <v>15.875</v>
      </c>
      <c r="G87" s="5">
        <f t="shared" si="7"/>
        <v>1</v>
      </c>
      <c r="H87" s="6" t="str">
        <f t="shared" si="8"/>
        <v>BB</v>
      </c>
      <c r="I87" s="5">
        <v>37.337999999999994</v>
      </c>
      <c r="J87" s="5">
        <f t="shared" si="9"/>
        <v>0</v>
      </c>
      <c r="K87" s="5">
        <v>0.59</v>
      </c>
      <c r="L87" s="5">
        <v>11321494.776319999</v>
      </c>
      <c r="M87" s="5">
        <v>13.9</v>
      </c>
      <c r="N87" s="5">
        <v>7.7</v>
      </c>
      <c r="O87" s="5">
        <v>38.607999999999997</v>
      </c>
      <c r="P87" s="5">
        <v>24849016.108319998</v>
      </c>
      <c r="Q87" s="5">
        <v>321186.45439999999</v>
      </c>
      <c r="R87" s="5">
        <v>188451.23599999998</v>
      </c>
      <c r="S87" s="5">
        <v>57.15</v>
      </c>
      <c r="T87" s="5">
        <f t="shared" si="10"/>
        <v>1</v>
      </c>
      <c r="U87" s="5">
        <f t="shared" si="11"/>
        <v>1</v>
      </c>
      <c r="V87" s="5">
        <f t="shared" si="12"/>
        <v>1</v>
      </c>
      <c r="W87" s="5">
        <v>74.930000000000007</v>
      </c>
      <c r="X87" s="5">
        <v>0.84599999999999997</v>
      </c>
    </row>
    <row r="88" spans="1:24" x14ac:dyDescent="0.25">
      <c r="A88" s="5" t="s">
        <v>412</v>
      </c>
      <c r="B88" s="5">
        <v>59.526557599999997</v>
      </c>
      <c r="C88" s="5">
        <v>7612.8879999999999</v>
      </c>
      <c r="D88" s="6">
        <v>127</v>
      </c>
      <c r="E88" s="6">
        <v>127</v>
      </c>
      <c r="F88" s="5">
        <v>15.875</v>
      </c>
      <c r="G88" s="5">
        <f t="shared" si="7"/>
        <v>1</v>
      </c>
      <c r="H88" s="6" t="str">
        <f t="shared" si="8"/>
        <v>BB</v>
      </c>
      <c r="I88" s="5">
        <v>37.337999999999994</v>
      </c>
      <c r="J88" s="5">
        <f t="shared" si="9"/>
        <v>0</v>
      </c>
      <c r="K88" s="5">
        <v>0.59</v>
      </c>
      <c r="L88" s="5">
        <v>11321494.776319999</v>
      </c>
      <c r="M88" s="5">
        <v>13.9</v>
      </c>
      <c r="N88" s="5">
        <v>7.7</v>
      </c>
      <c r="O88" s="5">
        <v>38.607999999999997</v>
      </c>
      <c r="P88" s="5">
        <v>28053998.085439999</v>
      </c>
      <c r="Q88" s="5">
        <v>357237.9952</v>
      </c>
      <c r="R88" s="5">
        <v>204838.3</v>
      </c>
      <c r="S88" s="5">
        <v>60.706000000000003</v>
      </c>
      <c r="T88" s="5">
        <f t="shared" si="10"/>
        <v>1</v>
      </c>
      <c r="U88" s="5">
        <f t="shared" si="11"/>
        <v>1</v>
      </c>
      <c r="V88" s="5">
        <f t="shared" si="12"/>
        <v>1</v>
      </c>
      <c r="W88" s="5">
        <v>77.724000000000004</v>
      </c>
      <c r="X88" s="5">
        <v>0.85699999999999998</v>
      </c>
    </row>
    <row r="89" spans="1:24" x14ac:dyDescent="0.25">
      <c r="A89" s="5" t="s">
        <v>413</v>
      </c>
      <c r="B89" s="5">
        <v>48.216511655999994</v>
      </c>
      <c r="C89" s="5">
        <v>6180.6327999999994</v>
      </c>
      <c r="D89" s="6">
        <v>127</v>
      </c>
      <c r="E89" s="6">
        <v>127</v>
      </c>
      <c r="F89" s="5">
        <v>12.7</v>
      </c>
      <c r="G89" s="5">
        <f t="shared" si="7"/>
        <v>1</v>
      </c>
      <c r="H89" s="6" t="str">
        <f t="shared" si="8"/>
        <v>BB</v>
      </c>
      <c r="I89" s="5">
        <v>36.067999999999998</v>
      </c>
      <c r="J89" s="5">
        <f t="shared" si="9"/>
        <v>0</v>
      </c>
      <c r="K89" s="5">
        <v>0.47899999999999998</v>
      </c>
      <c r="L89" s="5">
        <v>9406830.218559999</v>
      </c>
      <c r="M89" s="5">
        <v>11.3</v>
      </c>
      <c r="N89" s="5">
        <v>6.3</v>
      </c>
      <c r="O89" s="5">
        <v>38.862000000000002</v>
      </c>
      <c r="P89" s="5">
        <v>17398473.590079997</v>
      </c>
      <c r="Q89" s="5">
        <v>222864.07039999997</v>
      </c>
      <c r="R89" s="5">
        <v>136995.85503999997</v>
      </c>
      <c r="S89" s="5">
        <v>53.085999999999991</v>
      </c>
      <c r="T89" s="5">
        <f t="shared" si="10"/>
        <v>1</v>
      </c>
      <c r="U89" s="5">
        <f t="shared" si="11"/>
        <v>1</v>
      </c>
      <c r="V89" s="5">
        <f t="shared" si="12"/>
        <v>1</v>
      </c>
      <c r="W89" s="5">
        <v>72.39</v>
      </c>
      <c r="X89" s="5">
        <v>0.83</v>
      </c>
    </row>
    <row r="90" spans="1:24" x14ac:dyDescent="0.25">
      <c r="A90" s="5" t="s">
        <v>414</v>
      </c>
      <c r="B90" s="5">
        <v>48.216511655999994</v>
      </c>
      <c r="C90" s="5">
        <v>6180.6327999999994</v>
      </c>
      <c r="D90" s="6">
        <v>127</v>
      </c>
      <c r="E90" s="6">
        <v>127</v>
      </c>
      <c r="F90" s="5">
        <v>12.7</v>
      </c>
      <c r="G90" s="5">
        <f t="shared" si="7"/>
        <v>1</v>
      </c>
      <c r="H90" s="6" t="str">
        <f t="shared" si="8"/>
        <v>BB</v>
      </c>
      <c r="I90" s="5">
        <v>36.067999999999998</v>
      </c>
      <c r="J90" s="5">
        <f t="shared" si="9"/>
        <v>0</v>
      </c>
      <c r="K90" s="5">
        <v>0.47899999999999998</v>
      </c>
      <c r="L90" s="5">
        <v>9406830.218559999</v>
      </c>
      <c r="M90" s="5">
        <v>11.3</v>
      </c>
      <c r="N90" s="5">
        <v>6.3</v>
      </c>
      <c r="O90" s="5">
        <v>38.862000000000002</v>
      </c>
      <c r="P90" s="5">
        <v>19646123.288319997</v>
      </c>
      <c r="Q90" s="5">
        <v>252360.78559999997</v>
      </c>
      <c r="R90" s="5">
        <v>149122.28239999997</v>
      </c>
      <c r="S90" s="5">
        <v>56.388000000000005</v>
      </c>
      <c r="T90" s="5">
        <f t="shared" si="10"/>
        <v>1</v>
      </c>
      <c r="U90" s="5">
        <f t="shared" si="11"/>
        <v>1</v>
      </c>
      <c r="V90" s="5">
        <f t="shared" si="12"/>
        <v>1</v>
      </c>
      <c r="W90" s="5">
        <v>74.675999999999988</v>
      </c>
      <c r="X90" s="5">
        <v>0.84199999999999997</v>
      </c>
    </row>
    <row r="91" spans="1:24" x14ac:dyDescent="0.25">
      <c r="A91" s="5" t="s">
        <v>415</v>
      </c>
      <c r="B91" s="5">
        <v>48.216511655999994</v>
      </c>
      <c r="C91" s="5">
        <v>6180.6327999999994</v>
      </c>
      <c r="D91" s="6">
        <v>127</v>
      </c>
      <c r="E91" s="6">
        <v>127</v>
      </c>
      <c r="F91" s="5">
        <v>12.7</v>
      </c>
      <c r="G91" s="5">
        <f t="shared" si="7"/>
        <v>1</v>
      </c>
      <c r="H91" s="6" t="str">
        <f t="shared" si="8"/>
        <v>BB</v>
      </c>
      <c r="I91" s="5">
        <v>36.067999999999998</v>
      </c>
      <c r="J91" s="5">
        <f t="shared" si="9"/>
        <v>0</v>
      </c>
      <c r="K91" s="5">
        <v>0.47899999999999998</v>
      </c>
      <c r="L91" s="5">
        <v>9406830.218559999</v>
      </c>
      <c r="M91" s="5">
        <v>11.3</v>
      </c>
      <c r="N91" s="5">
        <v>6.3</v>
      </c>
      <c r="O91" s="5">
        <v>38.862000000000002</v>
      </c>
      <c r="P91" s="5">
        <v>22226758.127039999</v>
      </c>
      <c r="Q91" s="5">
        <v>281857.50079999998</v>
      </c>
      <c r="R91" s="5">
        <v>162723.54551999999</v>
      </c>
      <c r="S91" s="5">
        <v>59.943999999999996</v>
      </c>
      <c r="T91" s="5">
        <f t="shared" si="10"/>
        <v>1</v>
      </c>
      <c r="U91" s="5">
        <f t="shared" si="11"/>
        <v>1</v>
      </c>
      <c r="V91" s="5">
        <f t="shared" si="12"/>
        <v>1</v>
      </c>
      <c r="W91" s="5">
        <v>77.469999999999985</v>
      </c>
      <c r="X91" s="5">
        <v>0.85199999999999998</v>
      </c>
    </row>
    <row r="92" spans="1:24" x14ac:dyDescent="0.25">
      <c r="A92" s="5" t="s">
        <v>416</v>
      </c>
      <c r="B92" s="5">
        <v>42.561488684000004</v>
      </c>
      <c r="C92" s="5">
        <v>5445.1503999999995</v>
      </c>
      <c r="D92" s="6">
        <v>127</v>
      </c>
      <c r="E92" s="6">
        <v>127</v>
      </c>
      <c r="F92" s="5">
        <v>11.1252</v>
      </c>
      <c r="G92" s="5">
        <f t="shared" si="7"/>
        <v>1</v>
      </c>
      <c r="H92" s="6" t="str">
        <f t="shared" si="8"/>
        <v>BB</v>
      </c>
      <c r="I92" s="5">
        <v>35.559999999999995</v>
      </c>
      <c r="J92" s="5">
        <f t="shared" si="9"/>
        <v>0</v>
      </c>
      <c r="K92" s="5">
        <v>0.42199999999999999</v>
      </c>
      <c r="L92" s="5">
        <v>8324628.5119999992</v>
      </c>
      <c r="M92" s="5">
        <v>10</v>
      </c>
      <c r="N92" s="5">
        <v>5.56</v>
      </c>
      <c r="O92" s="5">
        <v>39.116</v>
      </c>
      <c r="P92" s="5">
        <v>15192447.034399999</v>
      </c>
      <c r="Q92" s="5">
        <v>193367.35519999999</v>
      </c>
      <c r="R92" s="5">
        <v>119625.56719999999</v>
      </c>
      <c r="S92" s="5">
        <v>52.832000000000001</v>
      </c>
      <c r="T92" s="5">
        <f t="shared" si="10"/>
        <v>1</v>
      </c>
      <c r="U92" s="5">
        <f t="shared" si="11"/>
        <v>1</v>
      </c>
      <c r="V92" s="5">
        <f t="shared" si="12"/>
        <v>1</v>
      </c>
      <c r="W92" s="5">
        <v>72.39</v>
      </c>
      <c r="X92" s="5">
        <v>0.82799999999999996</v>
      </c>
    </row>
    <row r="93" spans="1:24" x14ac:dyDescent="0.25">
      <c r="A93" s="5" t="s">
        <v>417</v>
      </c>
      <c r="B93" s="5">
        <v>42.561488684000004</v>
      </c>
      <c r="C93" s="5">
        <v>5445.1503999999995</v>
      </c>
      <c r="D93" s="6">
        <v>127</v>
      </c>
      <c r="E93" s="6">
        <v>127</v>
      </c>
      <c r="F93" s="5">
        <v>11.1252</v>
      </c>
      <c r="G93" s="5">
        <f t="shared" si="7"/>
        <v>1</v>
      </c>
      <c r="H93" s="6" t="str">
        <f t="shared" si="8"/>
        <v>BB</v>
      </c>
      <c r="I93" s="5">
        <v>35.559999999999995</v>
      </c>
      <c r="J93" s="5">
        <f t="shared" si="9"/>
        <v>0</v>
      </c>
      <c r="K93" s="5">
        <v>0.42199999999999999</v>
      </c>
      <c r="L93" s="5">
        <v>8324628.5119999992</v>
      </c>
      <c r="M93" s="5">
        <v>10</v>
      </c>
      <c r="N93" s="5">
        <v>5.56</v>
      </c>
      <c r="O93" s="5">
        <v>39.116</v>
      </c>
      <c r="P93" s="5">
        <v>17148734.734719999</v>
      </c>
      <c r="Q93" s="5">
        <v>219586.65759999998</v>
      </c>
      <c r="R93" s="5">
        <v>130113.28816</v>
      </c>
      <c r="S93" s="5">
        <v>56.133999999999993</v>
      </c>
      <c r="T93" s="5">
        <f t="shared" si="10"/>
        <v>1</v>
      </c>
      <c r="U93" s="5">
        <f t="shared" si="11"/>
        <v>1</v>
      </c>
      <c r="V93" s="5">
        <f t="shared" si="12"/>
        <v>1</v>
      </c>
      <c r="W93" s="5">
        <v>74.675999999999988</v>
      </c>
      <c r="X93" s="5">
        <v>0.83899999999999997</v>
      </c>
    </row>
    <row r="94" spans="1:24" x14ac:dyDescent="0.25">
      <c r="A94" s="5" t="s">
        <v>418</v>
      </c>
      <c r="B94" s="5">
        <v>42.561488684000004</v>
      </c>
      <c r="C94" s="5">
        <v>5445.1503999999995</v>
      </c>
      <c r="D94" s="6">
        <v>127</v>
      </c>
      <c r="E94" s="6">
        <v>127</v>
      </c>
      <c r="F94" s="5">
        <v>11.1252</v>
      </c>
      <c r="G94" s="5">
        <f t="shared" si="7"/>
        <v>1</v>
      </c>
      <c r="H94" s="6" t="str">
        <f t="shared" si="8"/>
        <v>BB</v>
      </c>
      <c r="I94" s="5">
        <v>35.559999999999995</v>
      </c>
      <c r="J94" s="5">
        <f t="shared" si="9"/>
        <v>0</v>
      </c>
      <c r="K94" s="5">
        <v>0.42199999999999999</v>
      </c>
      <c r="L94" s="5">
        <v>8324628.5119999992</v>
      </c>
      <c r="M94" s="5">
        <v>10</v>
      </c>
      <c r="N94" s="5">
        <v>5.56</v>
      </c>
      <c r="O94" s="5">
        <v>39.116</v>
      </c>
      <c r="P94" s="5">
        <v>19396384.43296</v>
      </c>
      <c r="Q94" s="5">
        <v>245805.95999999996</v>
      </c>
      <c r="R94" s="5">
        <v>142075.84487999999</v>
      </c>
      <c r="S94" s="5">
        <v>59.69</v>
      </c>
      <c r="T94" s="5">
        <f t="shared" si="10"/>
        <v>1</v>
      </c>
      <c r="U94" s="5">
        <f t="shared" si="11"/>
        <v>1</v>
      </c>
      <c r="V94" s="5">
        <f t="shared" si="12"/>
        <v>1</v>
      </c>
      <c r="W94" s="5">
        <v>77.469999999999985</v>
      </c>
      <c r="X94" s="5">
        <v>0.85</v>
      </c>
    </row>
    <row r="95" spans="1:24" x14ac:dyDescent="0.25">
      <c r="A95" s="5" t="s">
        <v>419</v>
      </c>
      <c r="B95" s="5">
        <v>36.608832923999998</v>
      </c>
      <c r="C95" s="5">
        <v>4709.6679999999997</v>
      </c>
      <c r="D95" s="6">
        <v>127</v>
      </c>
      <c r="E95" s="6">
        <v>127</v>
      </c>
      <c r="F95" s="5">
        <v>9.5249999999999986</v>
      </c>
      <c r="G95" s="5">
        <f t="shared" si="7"/>
        <v>1</v>
      </c>
      <c r="H95" s="6" t="str">
        <f t="shared" si="8"/>
        <v>BB</v>
      </c>
      <c r="I95" s="5">
        <v>34.798000000000002</v>
      </c>
      <c r="J95" s="5">
        <f t="shared" si="9"/>
        <v>0</v>
      </c>
      <c r="K95" s="5">
        <v>0.36499999999999999</v>
      </c>
      <c r="L95" s="5">
        <v>7284049.9479999989</v>
      </c>
      <c r="M95" s="5">
        <v>8.66</v>
      </c>
      <c r="N95" s="5">
        <v>4.82</v>
      </c>
      <c r="O95" s="5">
        <v>39.369999999999997</v>
      </c>
      <c r="P95" s="5">
        <v>13028043.62128</v>
      </c>
      <c r="Q95" s="5">
        <v>163870.63999999998</v>
      </c>
      <c r="R95" s="5">
        <v>102583.02063999999</v>
      </c>
      <c r="S95" s="5">
        <v>52.577999999999996</v>
      </c>
      <c r="T95" s="5">
        <f t="shared" si="10"/>
        <v>1</v>
      </c>
      <c r="U95" s="5">
        <f t="shared" si="11"/>
        <v>1</v>
      </c>
      <c r="V95" s="5">
        <f t="shared" si="12"/>
        <v>1</v>
      </c>
      <c r="W95" s="5">
        <v>72.135999999999996</v>
      </c>
      <c r="X95" s="5">
        <v>0.82599999999999996</v>
      </c>
    </row>
    <row r="96" spans="1:24" x14ac:dyDescent="0.25">
      <c r="A96" s="5" t="s">
        <v>420</v>
      </c>
      <c r="B96" s="5">
        <v>36.608832923999998</v>
      </c>
      <c r="C96" s="5">
        <v>4709.6679999999997</v>
      </c>
      <c r="D96" s="6">
        <v>127</v>
      </c>
      <c r="E96" s="6">
        <v>127</v>
      </c>
      <c r="F96" s="5">
        <v>9.5249999999999986</v>
      </c>
      <c r="G96" s="5">
        <f t="shared" si="7"/>
        <v>1</v>
      </c>
      <c r="H96" s="6" t="str">
        <f t="shared" si="8"/>
        <v>BB</v>
      </c>
      <c r="I96" s="5">
        <v>34.798000000000002</v>
      </c>
      <c r="J96" s="5">
        <f t="shared" si="9"/>
        <v>0</v>
      </c>
      <c r="K96" s="5">
        <v>0.36499999999999999</v>
      </c>
      <c r="L96" s="5">
        <v>7284049.9479999989</v>
      </c>
      <c r="M96" s="5">
        <v>8.66</v>
      </c>
      <c r="N96" s="5">
        <v>4.82</v>
      </c>
      <c r="O96" s="5">
        <v>39.369999999999997</v>
      </c>
      <c r="P96" s="5">
        <v>14692969.323679997</v>
      </c>
      <c r="Q96" s="5">
        <v>186812.52959999998</v>
      </c>
      <c r="R96" s="5">
        <v>111432.03519999998</v>
      </c>
      <c r="S96" s="5">
        <v>55.88</v>
      </c>
      <c r="T96" s="5">
        <f t="shared" si="10"/>
        <v>1</v>
      </c>
      <c r="U96" s="5">
        <f t="shared" si="11"/>
        <v>1</v>
      </c>
      <c r="V96" s="5">
        <f t="shared" si="12"/>
        <v>1</v>
      </c>
      <c r="W96" s="5">
        <v>74.675999999999988</v>
      </c>
      <c r="X96" s="5">
        <v>0.83799999999999997</v>
      </c>
    </row>
    <row r="97" spans="1:24" x14ac:dyDescent="0.25">
      <c r="A97" s="5" t="s">
        <v>421</v>
      </c>
      <c r="B97" s="5">
        <v>36.608832923999998</v>
      </c>
      <c r="C97" s="5">
        <v>4709.6679999999997</v>
      </c>
      <c r="D97" s="6">
        <v>127</v>
      </c>
      <c r="E97" s="6">
        <v>127</v>
      </c>
      <c r="F97" s="5">
        <v>9.5249999999999986</v>
      </c>
      <c r="G97" s="5">
        <f t="shared" si="7"/>
        <v>1</v>
      </c>
      <c r="H97" s="6" t="str">
        <f t="shared" si="8"/>
        <v>BB</v>
      </c>
      <c r="I97" s="5">
        <v>34.798000000000002</v>
      </c>
      <c r="J97" s="5">
        <f t="shared" si="9"/>
        <v>0</v>
      </c>
      <c r="K97" s="5">
        <v>0.36499999999999999</v>
      </c>
      <c r="L97" s="5">
        <v>7284049.9479999989</v>
      </c>
      <c r="M97" s="5">
        <v>8.66</v>
      </c>
      <c r="N97" s="5">
        <v>4.82</v>
      </c>
      <c r="O97" s="5">
        <v>39.369999999999997</v>
      </c>
      <c r="P97" s="5">
        <v>16649257.023999998</v>
      </c>
      <c r="Q97" s="5">
        <v>208115.71279999998</v>
      </c>
      <c r="R97" s="5">
        <v>121919.75615999999</v>
      </c>
      <c r="S97" s="5">
        <v>59.435999999999993</v>
      </c>
      <c r="T97" s="5">
        <f t="shared" si="10"/>
        <v>1</v>
      </c>
      <c r="U97" s="5">
        <f t="shared" si="11"/>
        <v>1</v>
      </c>
      <c r="V97" s="5">
        <f t="shared" si="12"/>
        <v>1</v>
      </c>
      <c r="W97" s="5">
        <v>77.215999999999994</v>
      </c>
      <c r="X97" s="5">
        <v>0.84799999999999998</v>
      </c>
    </row>
    <row r="98" spans="1:24" x14ac:dyDescent="0.25">
      <c r="A98" s="5" t="s">
        <v>422</v>
      </c>
      <c r="B98" s="5">
        <v>30.656177164000002</v>
      </c>
      <c r="C98" s="5">
        <v>3961.2823999999996</v>
      </c>
      <c r="D98" s="6">
        <v>127</v>
      </c>
      <c r="E98" s="6">
        <v>127</v>
      </c>
      <c r="F98" s="5">
        <v>7.9501999999999997</v>
      </c>
      <c r="G98" s="5">
        <f t="shared" si="7"/>
        <v>1</v>
      </c>
      <c r="H98" s="6" t="str">
        <f t="shared" si="8"/>
        <v>BB</v>
      </c>
      <c r="I98" s="5">
        <v>34.29</v>
      </c>
      <c r="J98" s="5">
        <f t="shared" si="9"/>
        <v>0</v>
      </c>
      <c r="K98" s="5">
        <v>0.307</v>
      </c>
      <c r="L98" s="5">
        <v>6201848.2414399991</v>
      </c>
      <c r="M98" s="5">
        <v>7.3</v>
      </c>
      <c r="N98" s="5">
        <v>4.08</v>
      </c>
      <c r="O98" s="5">
        <v>39.624000000000002</v>
      </c>
      <c r="P98" s="5">
        <v>10863640.20816</v>
      </c>
      <c r="Q98" s="5">
        <v>135848.76055999997</v>
      </c>
      <c r="R98" s="5">
        <v>85540.474079999985</v>
      </c>
      <c r="S98" s="5">
        <v>52.323999999999998</v>
      </c>
      <c r="T98" s="5">
        <f t="shared" si="10"/>
        <v>1</v>
      </c>
      <c r="U98" s="5">
        <f t="shared" si="11"/>
        <v>1</v>
      </c>
      <c r="V98" s="5">
        <f t="shared" si="12"/>
        <v>1</v>
      </c>
      <c r="W98" s="5">
        <v>72.135999999999996</v>
      </c>
      <c r="X98" s="5">
        <v>0.82499999999999996</v>
      </c>
    </row>
    <row r="99" spans="1:24" x14ac:dyDescent="0.25">
      <c r="A99" s="5" t="s">
        <v>423</v>
      </c>
      <c r="B99" s="5">
        <v>30.656177164000002</v>
      </c>
      <c r="C99" s="5">
        <v>3961.2823999999996</v>
      </c>
      <c r="D99" s="6">
        <v>127</v>
      </c>
      <c r="E99" s="6">
        <v>127</v>
      </c>
      <c r="F99" s="5">
        <v>7.9501999999999997</v>
      </c>
      <c r="G99" s="5">
        <f t="shared" si="7"/>
        <v>1</v>
      </c>
      <c r="H99" s="6" t="str">
        <f t="shared" si="8"/>
        <v>BB</v>
      </c>
      <c r="I99" s="5">
        <v>34.29</v>
      </c>
      <c r="J99" s="5">
        <f t="shared" si="9"/>
        <v>0</v>
      </c>
      <c r="K99" s="5">
        <v>0.307</v>
      </c>
      <c r="L99" s="5">
        <v>6201848.2414399991</v>
      </c>
      <c r="M99" s="5">
        <v>7.3</v>
      </c>
      <c r="N99" s="5">
        <v>4.08</v>
      </c>
      <c r="O99" s="5">
        <v>39.624000000000002</v>
      </c>
      <c r="P99" s="5">
        <v>12237203.912639998</v>
      </c>
      <c r="Q99" s="5">
        <v>154693.88415999999</v>
      </c>
      <c r="R99" s="5">
        <v>92914.652879999994</v>
      </c>
      <c r="S99" s="5">
        <v>55.625999999999998</v>
      </c>
      <c r="T99" s="5">
        <f t="shared" si="10"/>
        <v>1</v>
      </c>
      <c r="U99" s="5">
        <f t="shared" si="11"/>
        <v>1</v>
      </c>
      <c r="V99" s="5">
        <f t="shared" si="12"/>
        <v>1</v>
      </c>
      <c r="W99" s="5">
        <v>74.675999999999988</v>
      </c>
      <c r="X99" s="5">
        <v>0.83599999999999997</v>
      </c>
    </row>
    <row r="100" spans="1:24" x14ac:dyDescent="0.25">
      <c r="A100" s="5" t="s">
        <v>424</v>
      </c>
      <c r="B100" s="5">
        <v>30.656177164000002</v>
      </c>
      <c r="C100" s="5">
        <v>3961.2823999999996</v>
      </c>
      <c r="D100" s="6">
        <v>127</v>
      </c>
      <c r="E100" s="6">
        <v>127</v>
      </c>
      <c r="F100" s="5">
        <v>7.9501999999999997</v>
      </c>
      <c r="G100" s="5">
        <f t="shared" si="7"/>
        <v>1</v>
      </c>
      <c r="H100" s="6" t="str">
        <f t="shared" si="8"/>
        <v>BB</v>
      </c>
      <c r="I100" s="5">
        <v>34.29</v>
      </c>
      <c r="J100" s="5">
        <f t="shared" si="9"/>
        <v>0</v>
      </c>
      <c r="K100" s="5">
        <v>0.307</v>
      </c>
      <c r="L100" s="5">
        <v>6201848.2414399991</v>
      </c>
      <c r="M100" s="5">
        <v>7.3</v>
      </c>
      <c r="N100" s="5">
        <v>4.08</v>
      </c>
      <c r="O100" s="5">
        <v>39.624000000000002</v>
      </c>
      <c r="P100" s="5">
        <v>13735637.044799998</v>
      </c>
      <c r="Q100" s="5">
        <v>173702.87839999999</v>
      </c>
      <c r="R100" s="5">
        <v>100616.57295999999</v>
      </c>
      <c r="S100" s="5">
        <v>58.92799999999999</v>
      </c>
      <c r="T100" s="5">
        <f t="shared" si="10"/>
        <v>1</v>
      </c>
      <c r="U100" s="5">
        <f t="shared" si="11"/>
        <v>1</v>
      </c>
      <c r="V100" s="5">
        <f t="shared" si="12"/>
        <v>1</v>
      </c>
      <c r="W100" s="5">
        <v>77.215999999999994</v>
      </c>
      <c r="X100" s="5">
        <v>0.84699999999999998</v>
      </c>
    </row>
    <row r="101" spans="1:24" x14ac:dyDescent="0.25">
      <c r="A101" s="5" t="s">
        <v>425</v>
      </c>
      <c r="B101" s="5">
        <v>55.062065779999998</v>
      </c>
      <c r="C101" s="5">
        <v>7032.2439999999997</v>
      </c>
      <c r="D101" s="6">
        <v>101.6</v>
      </c>
      <c r="E101" s="6">
        <v>101.6</v>
      </c>
      <c r="F101" s="5">
        <v>19.049999999999997</v>
      </c>
      <c r="G101" s="5">
        <f t="shared" si="7"/>
        <v>1</v>
      </c>
      <c r="H101" s="6" t="str">
        <f t="shared" si="8"/>
        <v>BB</v>
      </c>
      <c r="I101" s="5">
        <v>32.257999999999996</v>
      </c>
      <c r="J101" s="5">
        <f t="shared" si="9"/>
        <v>0</v>
      </c>
      <c r="K101" s="5">
        <v>0.68</v>
      </c>
      <c r="L101" s="5">
        <v>6326717.6691199988</v>
      </c>
      <c r="M101" s="5">
        <v>10</v>
      </c>
      <c r="N101" s="5">
        <v>5.58</v>
      </c>
      <c r="O101" s="5">
        <v>29.971999999999998</v>
      </c>
      <c r="P101" s="5">
        <v>13569144.47456</v>
      </c>
      <c r="Q101" s="5">
        <v>226141.48319999999</v>
      </c>
      <c r="R101" s="5">
        <v>133554.5716</v>
      </c>
      <c r="S101" s="5">
        <v>43.942</v>
      </c>
      <c r="T101" s="5">
        <f t="shared" si="10"/>
        <v>1</v>
      </c>
      <c r="U101" s="5">
        <f t="shared" si="11"/>
        <v>1</v>
      </c>
      <c r="V101" s="5">
        <f t="shared" si="12"/>
        <v>1</v>
      </c>
      <c r="W101" s="5">
        <v>57.911999999999992</v>
      </c>
      <c r="X101" s="5">
        <v>0.84699999999999998</v>
      </c>
    </row>
    <row r="102" spans="1:24" x14ac:dyDescent="0.25">
      <c r="A102" s="5" t="s">
        <v>426</v>
      </c>
      <c r="B102" s="5">
        <v>55.062065779999998</v>
      </c>
      <c r="C102" s="5">
        <v>7032.2439999999997</v>
      </c>
      <c r="D102" s="6">
        <v>101.6</v>
      </c>
      <c r="E102" s="6">
        <v>101.6</v>
      </c>
      <c r="F102" s="5">
        <v>19.049999999999997</v>
      </c>
      <c r="G102" s="5">
        <f t="shared" si="7"/>
        <v>1</v>
      </c>
      <c r="H102" s="6" t="str">
        <f t="shared" si="8"/>
        <v>BB</v>
      </c>
      <c r="I102" s="5">
        <v>32.257999999999996</v>
      </c>
      <c r="J102" s="5">
        <f t="shared" si="9"/>
        <v>0</v>
      </c>
      <c r="K102" s="5">
        <v>0.68</v>
      </c>
      <c r="L102" s="5">
        <v>6326717.6691199988</v>
      </c>
      <c r="M102" s="5">
        <v>10</v>
      </c>
      <c r="N102" s="5">
        <v>5.58</v>
      </c>
      <c r="O102" s="5">
        <v>29.971999999999998</v>
      </c>
      <c r="P102" s="5">
        <v>16024909.885599999</v>
      </c>
      <c r="Q102" s="5">
        <v>260554.31759999998</v>
      </c>
      <c r="R102" s="5">
        <v>150597.11815999998</v>
      </c>
      <c r="S102" s="5">
        <v>47.751999999999995</v>
      </c>
      <c r="T102" s="5">
        <f t="shared" si="10"/>
        <v>1</v>
      </c>
      <c r="U102" s="5">
        <f t="shared" si="11"/>
        <v>1</v>
      </c>
      <c r="V102" s="5">
        <f t="shared" si="12"/>
        <v>1</v>
      </c>
      <c r="W102" s="5">
        <v>60.706000000000003</v>
      </c>
      <c r="X102" s="5">
        <v>0.86099999999999999</v>
      </c>
    </row>
    <row r="103" spans="1:24" x14ac:dyDescent="0.25">
      <c r="A103" s="5" t="s">
        <v>427</v>
      </c>
      <c r="B103" s="5">
        <v>55.062065779999998</v>
      </c>
      <c r="C103" s="5">
        <v>7032.2439999999997</v>
      </c>
      <c r="D103" s="6">
        <v>101.6</v>
      </c>
      <c r="E103" s="6">
        <v>101.6</v>
      </c>
      <c r="F103" s="5">
        <v>19.049999999999997</v>
      </c>
      <c r="G103" s="5">
        <f t="shared" si="7"/>
        <v>1</v>
      </c>
      <c r="H103" s="6" t="str">
        <f t="shared" si="8"/>
        <v>BB</v>
      </c>
      <c r="I103" s="5">
        <v>32.257999999999996</v>
      </c>
      <c r="J103" s="5">
        <f t="shared" si="9"/>
        <v>0</v>
      </c>
      <c r="K103" s="5">
        <v>0.68</v>
      </c>
      <c r="L103" s="5">
        <v>6326717.6691199988</v>
      </c>
      <c r="M103" s="5">
        <v>10</v>
      </c>
      <c r="N103" s="5">
        <v>5.58</v>
      </c>
      <c r="O103" s="5">
        <v>29.971999999999998</v>
      </c>
      <c r="P103" s="5">
        <v>18688791.009439997</v>
      </c>
      <c r="Q103" s="5">
        <v>293328.44559999998</v>
      </c>
      <c r="R103" s="5">
        <v>168786.7592</v>
      </c>
      <c r="S103" s="5">
        <v>51.561999999999991</v>
      </c>
      <c r="T103" s="5">
        <f t="shared" si="10"/>
        <v>1</v>
      </c>
      <c r="U103" s="5">
        <f t="shared" si="11"/>
        <v>1</v>
      </c>
      <c r="V103" s="5">
        <f t="shared" si="12"/>
        <v>1</v>
      </c>
      <c r="W103" s="5">
        <v>63.753999999999991</v>
      </c>
      <c r="X103" s="5">
        <v>0.874</v>
      </c>
    </row>
    <row r="104" spans="1:24" x14ac:dyDescent="0.25">
      <c r="A104" s="5" t="s">
        <v>428</v>
      </c>
      <c r="B104" s="5">
        <v>46.728347715999995</v>
      </c>
      <c r="C104" s="5">
        <v>5948.3752000000004</v>
      </c>
      <c r="D104" s="6">
        <v>101.6</v>
      </c>
      <c r="E104" s="6">
        <v>101.6</v>
      </c>
      <c r="F104" s="5">
        <v>15.875</v>
      </c>
      <c r="G104" s="5">
        <f t="shared" si="7"/>
        <v>1</v>
      </c>
      <c r="H104" s="6" t="str">
        <f t="shared" si="8"/>
        <v>BB</v>
      </c>
      <c r="I104" s="5">
        <v>30.987999999999996</v>
      </c>
      <c r="J104" s="5">
        <f t="shared" si="9"/>
        <v>0</v>
      </c>
      <c r="K104" s="5">
        <v>0.57599999999999996</v>
      </c>
      <c r="L104" s="5">
        <v>5494254.8179199994</v>
      </c>
      <c r="M104" s="5">
        <v>8.56</v>
      </c>
      <c r="N104" s="5">
        <v>4.76</v>
      </c>
      <c r="O104" s="5">
        <v>30.479999999999997</v>
      </c>
      <c r="P104" s="5">
        <v>11238248.491199998</v>
      </c>
      <c r="Q104" s="5">
        <v>183535.11679999996</v>
      </c>
      <c r="R104" s="5">
        <v>110612.68199999999</v>
      </c>
      <c r="S104" s="5">
        <v>43.433999999999997</v>
      </c>
      <c r="T104" s="5">
        <f t="shared" si="10"/>
        <v>1</v>
      </c>
      <c r="U104" s="5">
        <f t="shared" si="11"/>
        <v>1</v>
      </c>
      <c r="V104" s="5">
        <f t="shared" si="12"/>
        <v>1</v>
      </c>
      <c r="W104" s="5">
        <v>57.911999999999992</v>
      </c>
      <c r="X104" s="5">
        <v>0.84099999999999997</v>
      </c>
    </row>
    <row r="105" spans="1:24" x14ac:dyDescent="0.25">
      <c r="A105" s="5" t="s">
        <v>429</v>
      </c>
      <c r="B105" s="5">
        <v>46.728347715999995</v>
      </c>
      <c r="C105" s="5">
        <v>5948.3752000000004</v>
      </c>
      <c r="D105" s="6">
        <v>101.6</v>
      </c>
      <c r="E105" s="6">
        <v>101.6</v>
      </c>
      <c r="F105" s="5">
        <v>15.875</v>
      </c>
      <c r="G105" s="5">
        <f t="shared" si="7"/>
        <v>1</v>
      </c>
      <c r="H105" s="6" t="str">
        <f t="shared" si="8"/>
        <v>BB</v>
      </c>
      <c r="I105" s="5">
        <v>30.987999999999996</v>
      </c>
      <c r="J105" s="5">
        <f t="shared" si="9"/>
        <v>0</v>
      </c>
      <c r="K105" s="5">
        <v>0.57599999999999996</v>
      </c>
      <c r="L105" s="5">
        <v>5494254.8179199994</v>
      </c>
      <c r="M105" s="5">
        <v>8.56</v>
      </c>
      <c r="N105" s="5">
        <v>4.76</v>
      </c>
      <c r="O105" s="5">
        <v>30.479999999999997</v>
      </c>
      <c r="P105" s="5">
        <v>13152913.048959998</v>
      </c>
      <c r="Q105" s="5">
        <v>213031.83199999999</v>
      </c>
      <c r="R105" s="5">
        <v>123722.33319999998</v>
      </c>
      <c r="S105" s="5">
        <v>46.99</v>
      </c>
      <c r="T105" s="5">
        <f t="shared" si="10"/>
        <v>1</v>
      </c>
      <c r="U105" s="5">
        <f t="shared" si="11"/>
        <v>1</v>
      </c>
      <c r="V105" s="5">
        <f t="shared" si="12"/>
        <v>1</v>
      </c>
      <c r="W105" s="5">
        <v>60.706000000000003</v>
      </c>
      <c r="X105" s="5">
        <v>0.85399999999999998</v>
      </c>
    </row>
    <row r="106" spans="1:24" x14ac:dyDescent="0.25">
      <c r="A106" s="5" t="s">
        <v>430</v>
      </c>
      <c r="B106" s="5">
        <v>46.728347715999995</v>
      </c>
      <c r="C106" s="5">
        <v>5948.3752000000004</v>
      </c>
      <c r="D106" s="6">
        <v>101.6</v>
      </c>
      <c r="E106" s="6">
        <v>101.6</v>
      </c>
      <c r="F106" s="5">
        <v>15.875</v>
      </c>
      <c r="G106" s="5">
        <f t="shared" si="7"/>
        <v>1</v>
      </c>
      <c r="H106" s="6" t="str">
        <f t="shared" si="8"/>
        <v>BB</v>
      </c>
      <c r="I106" s="5">
        <v>30.987999999999996</v>
      </c>
      <c r="J106" s="5">
        <f t="shared" si="9"/>
        <v>0</v>
      </c>
      <c r="K106" s="5">
        <v>0.57599999999999996</v>
      </c>
      <c r="L106" s="5">
        <v>5494254.8179199994</v>
      </c>
      <c r="M106" s="5">
        <v>8.56</v>
      </c>
      <c r="N106" s="5">
        <v>4.76</v>
      </c>
      <c r="O106" s="5">
        <v>30.479999999999997</v>
      </c>
      <c r="P106" s="5">
        <v>15358939.604639998</v>
      </c>
      <c r="Q106" s="5">
        <v>240889.84079999998</v>
      </c>
      <c r="R106" s="5">
        <v>138142.94951999999</v>
      </c>
      <c r="S106" s="5">
        <v>50.8</v>
      </c>
      <c r="T106" s="5">
        <f t="shared" si="10"/>
        <v>1</v>
      </c>
      <c r="U106" s="5">
        <f t="shared" si="11"/>
        <v>1</v>
      </c>
      <c r="V106" s="5">
        <f t="shared" si="12"/>
        <v>1</v>
      </c>
      <c r="W106" s="5">
        <v>63.5</v>
      </c>
      <c r="X106" s="5">
        <v>0.86799999999999999</v>
      </c>
    </row>
    <row r="107" spans="1:24" x14ac:dyDescent="0.25">
      <c r="A107" s="5" t="s">
        <v>431</v>
      </c>
      <c r="B107" s="5">
        <v>38.096996863999998</v>
      </c>
      <c r="C107" s="5">
        <v>4838.7</v>
      </c>
      <c r="D107" s="6">
        <v>101.6</v>
      </c>
      <c r="E107" s="6">
        <v>101.6</v>
      </c>
      <c r="F107" s="5">
        <v>12.7</v>
      </c>
      <c r="G107" s="5">
        <f t="shared" si="7"/>
        <v>1</v>
      </c>
      <c r="H107" s="6" t="str">
        <f t="shared" si="8"/>
        <v>BB</v>
      </c>
      <c r="I107" s="5">
        <v>29.971999999999998</v>
      </c>
      <c r="J107" s="5">
        <f t="shared" si="9"/>
        <v>0</v>
      </c>
      <c r="K107" s="5">
        <v>0.46899999999999997</v>
      </c>
      <c r="L107" s="5">
        <v>4578545.6815999998</v>
      </c>
      <c r="M107" s="5">
        <v>7</v>
      </c>
      <c r="N107" s="5">
        <v>3.92</v>
      </c>
      <c r="O107" s="5">
        <v>30.733999999999998</v>
      </c>
      <c r="P107" s="5">
        <v>8907352.5078399982</v>
      </c>
      <c r="Q107" s="5">
        <v>145025.51639999999</v>
      </c>
      <c r="R107" s="5">
        <v>87670.792399999991</v>
      </c>
      <c r="S107" s="5">
        <v>42.925999999999995</v>
      </c>
      <c r="T107" s="5">
        <f t="shared" si="10"/>
        <v>1</v>
      </c>
      <c r="U107" s="5">
        <f t="shared" si="11"/>
        <v>1</v>
      </c>
      <c r="V107" s="5">
        <f t="shared" si="12"/>
        <v>1</v>
      </c>
      <c r="W107" s="5">
        <v>57.911999999999992</v>
      </c>
      <c r="X107" s="5">
        <v>0.83399999999999996</v>
      </c>
    </row>
    <row r="108" spans="1:24" x14ac:dyDescent="0.25">
      <c r="A108" s="5" t="s">
        <v>432</v>
      </c>
      <c r="B108" s="5">
        <v>38.096996863999998</v>
      </c>
      <c r="C108" s="5">
        <v>4838.7</v>
      </c>
      <c r="D108" s="6">
        <v>101.6</v>
      </c>
      <c r="E108" s="6">
        <v>101.6</v>
      </c>
      <c r="F108" s="5">
        <v>12.7</v>
      </c>
      <c r="G108" s="5">
        <f t="shared" si="7"/>
        <v>1</v>
      </c>
      <c r="H108" s="6" t="str">
        <f t="shared" si="8"/>
        <v>BB</v>
      </c>
      <c r="I108" s="5">
        <v>29.971999999999998</v>
      </c>
      <c r="J108" s="5">
        <f t="shared" si="9"/>
        <v>0</v>
      </c>
      <c r="K108" s="5">
        <v>0.46899999999999997</v>
      </c>
      <c r="L108" s="5">
        <v>4578545.6815999998</v>
      </c>
      <c r="M108" s="5">
        <v>7</v>
      </c>
      <c r="N108" s="5">
        <v>3.92</v>
      </c>
      <c r="O108" s="5">
        <v>30.733999999999998</v>
      </c>
      <c r="P108" s="5">
        <v>10447408.78256</v>
      </c>
      <c r="Q108" s="5">
        <v>168786.7592</v>
      </c>
      <c r="R108" s="5">
        <v>98158.513359999997</v>
      </c>
      <c r="S108" s="5">
        <v>46.481999999999999</v>
      </c>
      <c r="T108" s="5">
        <f t="shared" si="10"/>
        <v>1</v>
      </c>
      <c r="U108" s="5">
        <f t="shared" si="11"/>
        <v>1</v>
      </c>
      <c r="V108" s="5">
        <f t="shared" si="12"/>
        <v>1</v>
      </c>
      <c r="W108" s="5">
        <v>60.451999999999991</v>
      </c>
      <c r="X108" s="5">
        <v>0.84799999999999998</v>
      </c>
    </row>
    <row r="109" spans="1:24" x14ac:dyDescent="0.25">
      <c r="A109" s="5" t="s">
        <v>433</v>
      </c>
      <c r="B109" s="5">
        <v>38.096996863999998</v>
      </c>
      <c r="C109" s="5">
        <v>4838.7</v>
      </c>
      <c r="D109" s="6">
        <v>101.6</v>
      </c>
      <c r="E109" s="6">
        <v>101.6</v>
      </c>
      <c r="F109" s="5">
        <v>12.7</v>
      </c>
      <c r="G109" s="5">
        <f t="shared" si="7"/>
        <v>1</v>
      </c>
      <c r="H109" s="6" t="str">
        <f t="shared" si="8"/>
        <v>BB</v>
      </c>
      <c r="I109" s="5">
        <v>29.971999999999998</v>
      </c>
      <c r="J109" s="5">
        <f t="shared" si="9"/>
        <v>0</v>
      </c>
      <c r="K109" s="5">
        <v>0.46899999999999997</v>
      </c>
      <c r="L109" s="5">
        <v>4578545.6815999998</v>
      </c>
      <c r="M109" s="5">
        <v>7</v>
      </c>
      <c r="N109" s="5">
        <v>3.92</v>
      </c>
      <c r="O109" s="5">
        <v>30.733999999999998</v>
      </c>
      <c r="P109" s="5">
        <v>12112334.484959999</v>
      </c>
      <c r="Q109" s="5">
        <v>191728.64879999997</v>
      </c>
      <c r="R109" s="5">
        <v>108973.97559999999</v>
      </c>
      <c r="S109" s="5">
        <v>50.037999999999997</v>
      </c>
      <c r="T109" s="5">
        <f t="shared" si="10"/>
        <v>1</v>
      </c>
      <c r="U109" s="5">
        <f t="shared" si="11"/>
        <v>1</v>
      </c>
      <c r="V109" s="5">
        <f t="shared" si="12"/>
        <v>1</v>
      </c>
      <c r="W109" s="5">
        <v>63.246000000000002</v>
      </c>
      <c r="X109" s="5">
        <v>0.86199999999999999</v>
      </c>
    </row>
    <row r="110" spans="1:24" x14ac:dyDescent="0.25">
      <c r="A110" s="5" t="s">
        <v>434</v>
      </c>
      <c r="B110" s="5">
        <v>33.632505043999998</v>
      </c>
      <c r="C110" s="5">
        <v>4258.0559999999996</v>
      </c>
      <c r="D110" s="6">
        <v>101.6</v>
      </c>
      <c r="E110" s="6">
        <v>101.6</v>
      </c>
      <c r="F110" s="5">
        <v>11.1252</v>
      </c>
      <c r="G110" s="5">
        <f t="shared" si="7"/>
        <v>1</v>
      </c>
      <c r="H110" s="6" t="str">
        <f t="shared" si="8"/>
        <v>BB</v>
      </c>
      <c r="I110" s="5">
        <v>29.209999999999997</v>
      </c>
      <c r="J110" s="5">
        <f t="shared" si="9"/>
        <v>0</v>
      </c>
      <c r="K110" s="5">
        <v>0.41299999999999998</v>
      </c>
      <c r="L110" s="5">
        <v>4104041.8564159996</v>
      </c>
      <c r="M110" s="5">
        <v>6.2</v>
      </c>
      <c r="N110" s="5">
        <v>3.46</v>
      </c>
      <c r="O110" s="5">
        <v>30.987999999999996</v>
      </c>
      <c r="P110" s="5">
        <v>7741904.5161600001</v>
      </c>
      <c r="Q110" s="5">
        <v>124377.81575999998</v>
      </c>
      <c r="R110" s="5">
        <v>76199.847599999994</v>
      </c>
      <c r="S110" s="5">
        <v>42.671999999999997</v>
      </c>
      <c r="T110" s="5">
        <f t="shared" si="10"/>
        <v>1</v>
      </c>
      <c r="U110" s="5">
        <f t="shared" si="11"/>
        <v>1</v>
      </c>
      <c r="V110" s="5">
        <f t="shared" si="12"/>
        <v>1</v>
      </c>
      <c r="W110" s="5">
        <v>57.911999999999992</v>
      </c>
      <c r="X110" s="5">
        <v>0.83199999999999996</v>
      </c>
    </row>
    <row r="111" spans="1:24" x14ac:dyDescent="0.25">
      <c r="A111" s="5" t="s">
        <v>435</v>
      </c>
      <c r="B111" s="5">
        <v>33.632505043999998</v>
      </c>
      <c r="C111" s="5">
        <v>4258.0559999999996</v>
      </c>
      <c r="D111" s="6">
        <v>101.6</v>
      </c>
      <c r="E111" s="6">
        <v>101.6</v>
      </c>
      <c r="F111" s="5">
        <v>11.1252</v>
      </c>
      <c r="G111" s="5">
        <f t="shared" si="7"/>
        <v>1</v>
      </c>
      <c r="H111" s="6" t="str">
        <f t="shared" si="8"/>
        <v>BB</v>
      </c>
      <c r="I111" s="5">
        <v>29.209999999999997</v>
      </c>
      <c r="J111" s="5">
        <f t="shared" si="9"/>
        <v>0</v>
      </c>
      <c r="K111" s="5">
        <v>0.41299999999999998</v>
      </c>
      <c r="L111" s="5">
        <v>4104041.8564159996</v>
      </c>
      <c r="M111" s="5">
        <v>6.2</v>
      </c>
      <c r="N111" s="5">
        <v>3.46</v>
      </c>
      <c r="O111" s="5">
        <v>30.987999999999996</v>
      </c>
      <c r="P111" s="5">
        <v>8990598.7929599993</v>
      </c>
      <c r="Q111" s="5">
        <v>144697.77511999998</v>
      </c>
      <c r="R111" s="5">
        <v>84557.250239999994</v>
      </c>
      <c r="S111" s="5">
        <v>45.973999999999997</v>
      </c>
      <c r="T111" s="5">
        <f t="shared" si="10"/>
        <v>1</v>
      </c>
      <c r="U111" s="5">
        <f t="shared" si="11"/>
        <v>1</v>
      </c>
      <c r="V111" s="5">
        <f t="shared" si="12"/>
        <v>1</v>
      </c>
      <c r="W111" s="5">
        <v>60.451999999999991</v>
      </c>
      <c r="X111" s="5">
        <v>0.84599999999999997</v>
      </c>
    </row>
    <row r="112" spans="1:24" x14ac:dyDescent="0.25">
      <c r="A112" s="5" t="s">
        <v>436</v>
      </c>
      <c r="B112" s="5">
        <v>33.632505043999998</v>
      </c>
      <c r="C112" s="5">
        <v>4258.0559999999996</v>
      </c>
      <c r="D112" s="6">
        <v>101.6</v>
      </c>
      <c r="E112" s="6">
        <v>101.6</v>
      </c>
      <c r="F112" s="5">
        <v>11.1252</v>
      </c>
      <c r="G112" s="5">
        <f t="shared" si="7"/>
        <v>1</v>
      </c>
      <c r="H112" s="6" t="str">
        <f t="shared" si="8"/>
        <v>BB</v>
      </c>
      <c r="I112" s="5">
        <v>29.209999999999997</v>
      </c>
      <c r="J112" s="5">
        <f t="shared" si="9"/>
        <v>0</v>
      </c>
      <c r="K112" s="5">
        <v>0.41299999999999998</v>
      </c>
      <c r="L112" s="5">
        <v>4104041.8564159996</v>
      </c>
      <c r="M112" s="5">
        <v>6.2</v>
      </c>
      <c r="N112" s="5">
        <v>3.46</v>
      </c>
      <c r="O112" s="5">
        <v>30.987999999999996</v>
      </c>
      <c r="P112" s="5">
        <v>10572278.210239999</v>
      </c>
      <c r="Q112" s="5">
        <v>165509.34639999998</v>
      </c>
      <c r="R112" s="5">
        <v>95208.841839999979</v>
      </c>
      <c r="S112" s="5">
        <v>49.783999999999999</v>
      </c>
      <c r="T112" s="5">
        <f t="shared" si="10"/>
        <v>1</v>
      </c>
      <c r="U112" s="5">
        <f t="shared" si="11"/>
        <v>1</v>
      </c>
      <c r="V112" s="5">
        <f t="shared" si="12"/>
        <v>1</v>
      </c>
      <c r="W112" s="5">
        <v>63.246000000000002</v>
      </c>
      <c r="X112" s="5">
        <v>0.85899999999999999</v>
      </c>
    </row>
    <row r="113" spans="1:24" x14ac:dyDescent="0.25">
      <c r="A113" s="5" t="s">
        <v>437</v>
      </c>
      <c r="B113" s="5">
        <v>29.168013224000003</v>
      </c>
      <c r="C113" s="5">
        <v>3690.3151999999995</v>
      </c>
      <c r="D113" s="6">
        <v>101.6</v>
      </c>
      <c r="E113" s="6">
        <v>101.6</v>
      </c>
      <c r="F113" s="5">
        <v>9.5249999999999986</v>
      </c>
      <c r="G113" s="5">
        <f t="shared" si="7"/>
        <v>1</v>
      </c>
      <c r="H113" s="6" t="str">
        <f t="shared" si="8"/>
        <v>BB</v>
      </c>
      <c r="I113" s="5">
        <v>28.701999999999995</v>
      </c>
      <c r="J113" s="5">
        <f t="shared" si="9"/>
        <v>0</v>
      </c>
      <c r="K113" s="5">
        <v>0.35799999999999998</v>
      </c>
      <c r="L113" s="5">
        <v>3596239.517184</v>
      </c>
      <c r="M113" s="5">
        <v>5.38</v>
      </c>
      <c r="N113" s="5">
        <v>3</v>
      </c>
      <c r="O113" s="5">
        <v>31.241999999999997</v>
      </c>
      <c r="P113" s="5">
        <v>6659702.8095999993</v>
      </c>
      <c r="Q113" s="5">
        <v>105860.43343999999</v>
      </c>
      <c r="R113" s="5">
        <v>65548.255999999994</v>
      </c>
      <c r="S113" s="5">
        <v>42.417999999999999</v>
      </c>
      <c r="T113" s="5">
        <f t="shared" si="10"/>
        <v>1</v>
      </c>
      <c r="U113" s="5">
        <f t="shared" si="11"/>
        <v>1</v>
      </c>
      <c r="V113" s="5">
        <f t="shared" si="12"/>
        <v>1</v>
      </c>
      <c r="W113" s="5">
        <v>57.911999999999992</v>
      </c>
      <c r="X113" s="5">
        <v>0.82899999999999996</v>
      </c>
    </row>
    <row r="114" spans="1:24" x14ac:dyDescent="0.25">
      <c r="A114" s="5" t="s">
        <v>438</v>
      </c>
      <c r="B114" s="5">
        <v>29.168013224000003</v>
      </c>
      <c r="C114" s="5">
        <v>3690.3151999999995</v>
      </c>
      <c r="D114" s="6">
        <v>101.6</v>
      </c>
      <c r="E114" s="6">
        <v>101.6</v>
      </c>
      <c r="F114" s="5">
        <v>9.5249999999999986</v>
      </c>
      <c r="G114" s="5">
        <f t="shared" si="7"/>
        <v>1</v>
      </c>
      <c r="H114" s="6" t="str">
        <f t="shared" si="8"/>
        <v>BB</v>
      </c>
      <c r="I114" s="5">
        <v>28.701999999999995</v>
      </c>
      <c r="J114" s="5">
        <f t="shared" si="9"/>
        <v>0</v>
      </c>
      <c r="K114" s="5">
        <v>0.35799999999999998</v>
      </c>
      <c r="L114" s="5">
        <v>3596239.517184</v>
      </c>
      <c r="M114" s="5">
        <v>5.38</v>
      </c>
      <c r="N114" s="5">
        <v>3</v>
      </c>
      <c r="O114" s="5">
        <v>31.241999999999997</v>
      </c>
      <c r="P114" s="5">
        <v>7700281.3735999996</v>
      </c>
      <c r="Q114" s="5">
        <v>123558.46255999999</v>
      </c>
      <c r="R114" s="5">
        <v>72430.822879999992</v>
      </c>
      <c r="S114" s="5">
        <v>45.72</v>
      </c>
      <c r="T114" s="5">
        <f t="shared" si="10"/>
        <v>1</v>
      </c>
      <c r="U114" s="5">
        <f t="shared" si="11"/>
        <v>1</v>
      </c>
      <c r="V114" s="5">
        <f t="shared" si="12"/>
        <v>1</v>
      </c>
      <c r="W114" s="5">
        <v>60.451999999999991</v>
      </c>
      <c r="X114" s="5">
        <v>0.84299999999999997</v>
      </c>
    </row>
    <row r="115" spans="1:24" x14ac:dyDescent="0.25">
      <c r="A115" s="5" t="s">
        <v>439</v>
      </c>
      <c r="B115" s="5">
        <v>29.168013224000003</v>
      </c>
      <c r="C115" s="5">
        <v>3690.3151999999995</v>
      </c>
      <c r="D115" s="6">
        <v>101.6</v>
      </c>
      <c r="E115" s="6">
        <v>101.6</v>
      </c>
      <c r="F115" s="5">
        <v>9.5249999999999986</v>
      </c>
      <c r="G115" s="5">
        <f t="shared" si="7"/>
        <v>1</v>
      </c>
      <c r="H115" s="6" t="str">
        <f t="shared" si="8"/>
        <v>BB</v>
      </c>
      <c r="I115" s="5">
        <v>28.701999999999995</v>
      </c>
      <c r="J115" s="5">
        <f t="shared" si="9"/>
        <v>0</v>
      </c>
      <c r="K115" s="5">
        <v>0.35799999999999998</v>
      </c>
      <c r="L115" s="5">
        <v>3596239.517184</v>
      </c>
      <c r="M115" s="5">
        <v>5.38</v>
      </c>
      <c r="N115" s="5">
        <v>3</v>
      </c>
      <c r="O115" s="5">
        <v>31.241999999999997</v>
      </c>
      <c r="P115" s="5">
        <v>8948975.6503999997</v>
      </c>
      <c r="Q115" s="5">
        <v>141092.62103999997</v>
      </c>
      <c r="R115" s="5">
        <v>80460.484239999991</v>
      </c>
      <c r="S115" s="5">
        <v>49.275999999999996</v>
      </c>
      <c r="T115" s="5">
        <f t="shared" si="10"/>
        <v>1</v>
      </c>
      <c r="U115" s="5">
        <f t="shared" si="11"/>
        <v>1</v>
      </c>
      <c r="V115" s="5">
        <f t="shared" si="12"/>
        <v>1</v>
      </c>
      <c r="W115" s="5">
        <v>63.246000000000002</v>
      </c>
      <c r="X115" s="5">
        <v>0.85599999999999998</v>
      </c>
    </row>
    <row r="116" spans="1:24" x14ac:dyDescent="0.25">
      <c r="A116" s="5" t="s">
        <v>440</v>
      </c>
      <c r="B116" s="5">
        <v>24.405888615999999</v>
      </c>
      <c r="C116" s="5">
        <v>3096.7679999999996</v>
      </c>
      <c r="D116" s="6">
        <v>101.6</v>
      </c>
      <c r="E116" s="6">
        <v>101.6</v>
      </c>
      <c r="F116" s="5">
        <v>7.9501999999999997</v>
      </c>
      <c r="G116" s="5">
        <f t="shared" si="7"/>
        <v>1</v>
      </c>
      <c r="H116" s="6" t="str">
        <f t="shared" si="8"/>
        <v>BB</v>
      </c>
      <c r="I116" s="5">
        <v>28.194000000000003</v>
      </c>
      <c r="J116" s="5">
        <f t="shared" si="9"/>
        <v>0</v>
      </c>
      <c r="K116" s="5">
        <v>0.3</v>
      </c>
      <c r="L116" s="5">
        <v>3055138.6639039996</v>
      </c>
      <c r="M116" s="5">
        <v>4.5199999999999996</v>
      </c>
      <c r="N116" s="5">
        <v>2.54</v>
      </c>
      <c r="O116" s="5">
        <v>31.495999999999999</v>
      </c>
      <c r="P116" s="5">
        <v>5494254.8179199994</v>
      </c>
      <c r="Q116" s="5">
        <v>87343.051119999989</v>
      </c>
      <c r="R116" s="5">
        <v>54077.311199999989</v>
      </c>
      <c r="S116" s="5">
        <v>42.163999999999994</v>
      </c>
      <c r="T116" s="5">
        <f t="shared" si="10"/>
        <v>1</v>
      </c>
      <c r="U116" s="5">
        <f t="shared" si="11"/>
        <v>1</v>
      </c>
      <c r="V116" s="5">
        <f t="shared" si="12"/>
        <v>1</v>
      </c>
      <c r="W116" s="5">
        <v>57.911999999999992</v>
      </c>
      <c r="X116" s="5">
        <v>0.82599999999999996</v>
      </c>
    </row>
    <row r="117" spans="1:24" x14ac:dyDescent="0.25">
      <c r="A117" s="5" t="s">
        <v>441</v>
      </c>
      <c r="B117" s="5">
        <v>24.405888615999999</v>
      </c>
      <c r="C117" s="5">
        <v>3096.7679999999996</v>
      </c>
      <c r="D117" s="6">
        <v>101.6</v>
      </c>
      <c r="E117" s="6">
        <v>101.6</v>
      </c>
      <c r="F117" s="5">
        <v>7.9501999999999997</v>
      </c>
      <c r="G117" s="5">
        <f t="shared" si="7"/>
        <v>1</v>
      </c>
      <c r="H117" s="6" t="str">
        <f t="shared" si="8"/>
        <v>BB</v>
      </c>
      <c r="I117" s="5">
        <v>28.194000000000003</v>
      </c>
      <c r="J117" s="5">
        <f t="shared" si="9"/>
        <v>0</v>
      </c>
      <c r="K117" s="5">
        <v>0.3</v>
      </c>
      <c r="L117" s="5">
        <v>3055138.6639039996</v>
      </c>
      <c r="M117" s="5">
        <v>4.5199999999999996</v>
      </c>
      <c r="N117" s="5">
        <v>2.54</v>
      </c>
      <c r="O117" s="5">
        <v>31.495999999999999</v>
      </c>
      <c r="P117" s="5">
        <v>6409963.9542399999</v>
      </c>
      <c r="Q117" s="5">
        <v>102091.40871999999</v>
      </c>
      <c r="R117" s="5">
        <v>60304.395519999998</v>
      </c>
      <c r="S117" s="5">
        <v>45.466000000000001</v>
      </c>
      <c r="T117" s="5">
        <f t="shared" si="10"/>
        <v>1</v>
      </c>
      <c r="U117" s="5">
        <f t="shared" si="11"/>
        <v>1</v>
      </c>
      <c r="V117" s="5">
        <f t="shared" si="12"/>
        <v>1</v>
      </c>
      <c r="W117" s="5">
        <v>60.198</v>
      </c>
      <c r="X117" s="5">
        <v>0.84</v>
      </c>
    </row>
    <row r="118" spans="1:24" x14ac:dyDescent="0.25">
      <c r="A118" s="5" t="s">
        <v>442</v>
      </c>
      <c r="B118" s="5">
        <v>24.405888615999999</v>
      </c>
      <c r="C118" s="5">
        <v>3096.7679999999996</v>
      </c>
      <c r="D118" s="6">
        <v>101.6</v>
      </c>
      <c r="E118" s="6">
        <v>101.6</v>
      </c>
      <c r="F118" s="5">
        <v>7.9501999999999997</v>
      </c>
      <c r="G118" s="5">
        <f t="shared" si="7"/>
        <v>1</v>
      </c>
      <c r="H118" s="6" t="str">
        <f t="shared" si="8"/>
        <v>BB</v>
      </c>
      <c r="I118" s="5">
        <v>28.194000000000003</v>
      </c>
      <c r="J118" s="5">
        <f t="shared" si="9"/>
        <v>0</v>
      </c>
      <c r="K118" s="5">
        <v>0.3</v>
      </c>
      <c r="L118" s="5">
        <v>3055138.6639039996</v>
      </c>
      <c r="M118" s="5">
        <v>4.5199999999999996</v>
      </c>
      <c r="N118" s="5">
        <v>2.54</v>
      </c>
      <c r="O118" s="5">
        <v>31.495999999999999</v>
      </c>
      <c r="P118" s="5">
        <v>7450542.5182399983</v>
      </c>
      <c r="Q118" s="5">
        <v>116839.76631999998</v>
      </c>
      <c r="R118" s="5">
        <v>67023.091759999996</v>
      </c>
      <c r="S118" s="5">
        <v>49.021999999999998</v>
      </c>
      <c r="T118" s="5">
        <f t="shared" si="10"/>
        <v>1</v>
      </c>
      <c r="U118" s="5">
        <f t="shared" si="11"/>
        <v>1</v>
      </c>
      <c r="V118" s="5">
        <f t="shared" si="12"/>
        <v>1</v>
      </c>
      <c r="W118" s="5">
        <v>62.991999999999997</v>
      </c>
      <c r="X118" s="5">
        <v>0.85399999999999998</v>
      </c>
    </row>
    <row r="119" spans="1:24" x14ac:dyDescent="0.25">
      <c r="A119" s="5" t="s">
        <v>443</v>
      </c>
      <c r="B119" s="5">
        <v>19.643764007999998</v>
      </c>
      <c r="C119" s="5">
        <v>2490.3175999999999</v>
      </c>
      <c r="D119" s="6">
        <v>101.6</v>
      </c>
      <c r="E119" s="6">
        <v>101.6</v>
      </c>
      <c r="F119" s="5">
        <v>6.35</v>
      </c>
      <c r="G119" s="5">
        <f t="shared" si="7"/>
        <v>1</v>
      </c>
      <c r="H119" s="6" t="str">
        <f t="shared" si="8"/>
        <v>BB</v>
      </c>
      <c r="I119" s="5">
        <v>27.431999999999999</v>
      </c>
      <c r="J119" s="5">
        <f t="shared" si="9"/>
        <v>0</v>
      </c>
      <c r="K119" s="5">
        <v>0.24099999999999999</v>
      </c>
      <c r="L119" s="5">
        <v>2497388.5535999998</v>
      </c>
      <c r="M119" s="5">
        <v>3.64</v>
      </c>
      <c r="N119" s="5">
        <v>2.06</v>
      </c>
      <c r="O119" s="5">
        <v>31.75</v>
      </c>
      <c r="P119" s="5">
        <v>4370429.9687999999</v>
      </c>
      <c r="Q119" s="5">
        <v>68334.056879999989</v>
      </c>
      <c r="R119" s="5">
        <v>42934.107680000001</v>
      </c>
      <c r="S119" s="5">
        <v>41.91</v>
      </c>
      <c r="T119" s="5">
        <f t="shared" si="10"/>
        <v>1</v>
      </c>
      <c r="U119" s="5">
        <f t="shared" si="11"/>
        <v>1</v>
      </c>
      <c r="V119" s="5">
        <f t="shared" si="12"/>
        <v>1</v>
      </c>
      <c r="W119" s="5">
        <v>57.911999999999992</v>
      </c>
      <c r="X119" s="5">
        <v>0.82399999999999995</v>
      </c>
    </row>
    <row r="120" spans="1:24" x14ac:dyDescent="0.25">
      <c r="A120" s="5" t="s">
        <v>444</v>
      </c>
      <c r="B120" s="5">
        <v>19.643764007999998</v>
      </c>
      <c r="C120" s="5">
        <v>2490.3175999999999</v>
      </c>
      <c r="D120" s="6">
        <v>101.6</v>
      </c>
      <c r="E120" s="6">
        <v>101.6</v>
      </c>
      <c r="F120" s="5">
        <v>6.35</v>
      </c>
      <c r="G120" s="5">
        <f t="shared" si="7"/>
        <v>1</v>
      </c>
      <c r="H120" s="6" t="str">
        <f t="shared" si="8"/>
        <v>BB</v>
      </c>
      <c r="I120" s="5">
        <v>27.431999999999999</v>
      </c>
      <c r="J120" s="5">
        <f t="shared" si="9"/>
        <v>0</v>
      </c>
      <c r="K120" s="5">
        <v>0.24099999999999999</v>
      </c>
      <c r="L120" s="5">
        <v>2497388.5535999998</v>
      </c>
      <c r="M120" s="5">
        <v>3.64</v>
      </c>
      <c r="N120" s="5">
        <v>2.06</v>
      </c>
      <c r="O120" s="5">
        <v>31.75</v>
      </c>
      <c r="P120" s="5">
        <v>5078023.3923199996</v>
      </c>
      <c r="Q120" s="5">
        <v>80132.742959999989</v>
      </c>
      <c r="R120" s="5">
        <v>47686.356240000001</v>
      </c>
      <c r="S120" s="5">
        <v>45.211999999999996</v>
      </c>
      <c r="T120" s="5">
        <f t="shared" si="10"/>
        <v>1</v>
      </c>
      <c r="U120" s="5">
        <f t="shared" si="11"/>
        <v>1</v>
      </c>
      <c r="V120" s="5">
        <f t="shared" si="12"/>
        <v>1</v>
      </c>
      <c r="W120" s="5">
        <v>60.198</v>
      </c>
      <c r="X120" s="5">
        <v>0.83799999999999997</v>
      </c>
    </row>
    <row r="121" spans="1:24" x14ac:dyDescent="0.25">
      <c r="A121" s="5" t="s">
        <v>445</v>
      </c>
      <c r="B121" s="5">
        <v>19.643764007999998</v>
      </c>
      <c r="C121" s="5">
        <v>2490.3175999999999</v>
      </c>
      <c r="D121" s="6">
        <v>101.6</v>
      </c>
      <c r="E121" s="6">
        <v>101.6</v>
      </c>
      <c r="F121" s="5">
        <v>6.35</v>
      </c>
      <c r="G121" s="5">
        <f t="shared" si="7"/>
        <v>1</v>
      </c>
      <c r="H121" s="6" t="str">
        <f t="shared" si="8"/>
        <v>BB</v>
      </c>
      <c r="I121" s="5">
        <v>27.431999999999999</v>
      </c>
      <c r="J121" s="5">
        <f t="shared" si="9"/>
        <v>0</v>
      </c>
      <c r="K121" s="5">
        <v>0.24099999999999999</v>
      </c>
      <c r="L121" s="5">
        <v>2497388.5535999998</v>
      </c>
      <c r="M121" s="5">
        <v>3.64</v>
      </c>
      <c r="N121" s="5">
        <v>2.06</v>
      </c>
      <c r="O121" s="5">
        <v>31.75</v>
      </c>
      <c r="P121" s="5">
        <v>5868863.1009599995</v>
      </c>
      <c r="Q121" s="5">
        <v>92095.299679999996</v>
      </c>
      <c r="R121" s="5">
        <v>52766.346079999996</v>
      </c>
      <c r="S121" s="5">
        <v>48.513999999999996</v>
      </c>
      <c r="T121" s="5">
        <f t="shared" si="10"/>
        <v>1</v>
      </c>
      <c r="U121" s="5">
        <f t="shared" si="11"/>
        <v>1</v>
      </c>
      <c r="V121" s="5">
        <f t="shared" si="12"/>
        <v>1</v>
      </c>
      <c r="W121" s="5">
        <v>62.991999999999997</v>
      </c>
      <c r="X121" s="5">
        <v>0.85099999999999998</v>
      </c>
    </row>
    <row r="122" spans="1:24" x14ac:dyDescent="0.25">
      <c r="A122" s="5" t="s">
        <v>446</v>
      </c>
      <c r="B122" s="5">
        <v>33.037239467999996</v>
      </c>
      <c r="C122" s="5">
        <v>4193.54</v>
      </c>
      <c r="D122" s="6">
        <v>88.899999999999991</v>
      </c>
      <c r="E122" s="6">
        <v>88.899999999999991</v>
      </c>
      <c r="F122" s="5">
        <v>12.7</v>
      </c>
      <c r="G122" s="5">
        <f t="shared" si="7"/>
        <v>1</v>
      </c>
      <c r="H122" s="6" t="str">
        <f t="shared" si="8"/>
        <v>BB</v>
      </c>
      <c r="I122" s="5">
        <v>26.669999999999998</v>
      </c>
      <c r="J122" s="5">
        <f t="shared" si="9"/>
        <v>0</v>
      </c>
      <c r="K122" s="5">
        <v>0.46400000000000002</v>
      </c>
      <c r="L122" s="5">
        <v>3021840.1498559997</v>
      </c>
      <c r="M122" s="5">
        <v>5.32</v>
      </c>
      <c r="N122" s="5">
        <v>2.96</v>
      </c>
      <c r="O122" s="5">
        <v>26.669999999999998</v>
      </c>
      <c r="P122" s="5">
        <v>5993732.5286399992</v>
      </c>
      <c r="Q122" s="5">
        <v>111759.77648</v>
      </c>
      <c r="R122" s="5">
        <v>67350.833039999998</v>
      </c>
      <c r="S122" s="5">
        <v>37.845999999999997</v>
      </c>
      <c r="T122" s="5">
        <f t="shared" si="10"/>
        <v>1</v>
      </c>
      <c r="U122" s="5">
        <f t="shared" si="11"/>
        <v>1</v>
      </c>
      <c r="V122" s="5">
        <f t="shared" si="12"/>
        <v>1</v>
      </c>
      <c r="W122" s="5">
        <v>50.545999999999999</v>
      </c>
      <c r="X122" s="5">
        <v>0.83799999999999997</v>
      </c>
    </row>
    <row r="123" spans="1:24" x14ac:dyDescent="0.25">
      <c r="A123" s="5" t="s">
        <v>447</v>
      </c>
      <c r="B123" s="5">
        <v>33.037239467999996</v>
      </c>
      <c r="C123" s="5">
        <v>4193.54</v>
      </c>
      <c r="D123" s="6">
        <v>88.899999999999991</v>
      </c>
      <c r="E123" s="6">
        <v>88.899999999999991</v>
      </c>
      <c r="F123" s="5">
        <v>12.7</v>
      </c>
      <c r="G123" s="5">
        <f t="shared" si="7"/>
        <v>1</v>
      </c>
      <c r="H123" s="6" t="str">
        <f t="shared" si="8"/>
        <v>BB</v>
      </c>
      <c r="I123" s="5">
        <v>26.669999999999998</v>
      </c>
      <c r="J123" s="5">
        <f t="shared" si="9"/>
        <v>0</v>
      </c>
      <c r="K123" s="5">
        <v>0.46400000000000002</v>
      </c>
      <c r="L123" s="5">
        <v>3021840.1498559997</v>
      </c>
      <c r="M123" s="5">
        <v>5.32</v>
      </c>
      <c r="N123" s="5">
        <v>2.96</v>
      </c>
      <c r="O123" s="5">
        <v>26.669999999999998</v>
      </c>
      <c r="P123" s="5">
        <v>7200803.6628799997</v>
      </c>
      <c r="Q123" s="5">
        <v>131751.99455999996</v>
      </c>
      <c r="R123" s="5">
        <v>76855.330159999998</v>
      </c>
      <c r="S123" s="5">
        <v>41.401999999999994</v>
      </c>
      <c r="T123" s="5">
        <f t="shared" si="10"/>
        <v>1</v>
      </c>
      <c r="U123" s="5">
        <f t="shared" si="11"/>
        <v>1</v>
      </c>
      <c r="V123" s="5">
        <f t="shared" si="12"/>
        <v>1</v>
      </c>
      <c r="W123" s="5">
        <v>53.339999999999996</v>
      </c>
      <c r="X123" s="5">
        <v>0.85399999999999998</v>
      </c>
    </row>
    <row r="124" spans="1:24" x14ac:dyDescent="0.25">
      <c r="A124" s="5" t="s">
        <v>448</v>
      </c>
      <c r="B124" s="5">
        <v>33.037239467999996</v>
      </c>
      <c r="C124" s="5">
        <v>4193.54</v>
      </c>
      <c r="D124" s="6">
        <v>88.899999999999991</v>
      </c>
      <c r="E124" s="6">
        <v>88.899999999999991</v>
      </c>
      <c r="F124" s="5">
        <v>12.7</v>
      </c>
      <c r="G124" s="5">
        <f t="shared" si="7"/>
        <v>1</v>
      </c>
      <c r="H124" s="6" t="str">
        <f t="shared" si="8"/>
        <v>BB</v>
      </c>
      <c r="I124" s="5">
        <v>26.669999999999998</v>
      </c>
      <c r="J124" s="5">
        <f t="shared" si="9"/>
        <v>0</v>
      </c>
      <c r="K124" s="5">
        <v>0.46400000000000002</v>
      </c>
      <c r="L124" s="5">
        <v>3021840.1498559997</v>
      </c>
      <c r="M124" s="5">
        <v>5.32</v>
      </c>
      <c r="N124" s="5">
        <v>2.96</v>
      </c>
      <c r="O124" s="5">
        <v>26.669999999999998</v>
      </c>
      <c r="P124" s="5">
        <v>8491121.0822399985</v>
      </c>
      <c r="Q124" s="5">
        <v>151744.21263999998</v>
      </c>
      <c r="R124" s="5">
        <v>86195.956639999989</v>
      </c>
      <c r="S124" s="5">
        <v>44.957999999999998</v>
      </c>
      <c r="T124" s="5">
        <f t="shared" si="10"/>
        <v>1</v>
      </c>
      <c r="U124" s="5">
        <f t="shared" si="11"/>
        <v>1</v>
      </c>
      <c r="V124" s="5">
        <f t="shared" si="12"/>
        <v>1</v>
      </c>
      <c r="W124" s="5">
        <v>56.133999999999993</v>
      </c>
      <c r="X124" s="5">
        <v>0.86899999999999999</v>
      </c>
    </row>
    <row r="125" spans="1:24" x14ac:dyDescent="0.25">
      <c r="A125" s="5" t="s">
        <v>449</v>
      </c>
      <c r="B125" s="5">
        <v>29.168013224000003</v>
      </c>
      <c r="C125" s="5">
        <v>3729.0248000000001</v>
      </c>
      <c r="D125" s="6">
        <v>88.899999999999991</v>
      </c>
      <c r="E125" s="6">
        <v>88.899999999999991</v>
      </c>
      <c r="F125" s="5">
        <v>11.1252</v>
      </c>
      <c r="G125" s="5">
        <f t="shared" si="7"/>
        <v>1</v>
      </c>
      <c r="H125" s="6" t="str">
        <f t="shared" si="8"/>
        <v>BB</v>
      </c>
      <c r="I125" s="5">
        <v>26.161999999999999</v>
      </c>
      <c r="J125" s="5">
        <f t="shared" si="9"/>
        <v>0</v>
      </c>
      <c r="K125" s="5">
        <v>0.41299999999999998</v>
      </c>
      <c r="L125" s="5">
        <v>2705504.2663999996</v>
      </c>
      <c r="M125" s="5">
        <v>4.72</v>
      </c>
      <c r="N125" s="5">
        <v>2.64</v>
      </c>
      <c r="O125" s="5">
        <v>26.923999999999999</v>
      </c>
      <c r="P125" s="5">
        <v>5286139.1051199995</v>
      </c>
      <c r="Q125" s="5">
        <v>97503.030799999993</v>
      </c>
      <c r="R125" s="5">
        <v>59485.042319999993</v>
      </c>
      <c r="S125" s="5">
        <v>37.591999999999999</v>
      </c>
      <c r="T125" s="5">
        <f t="shared" si="10"/>
        <v>1</v>
      </c>
      <c r="U125" s="5">
        <f t="shared" si="11"/>
        <v>1</v>
      </c>
      <c r="V125" s="5">
        <f t="shared" si="12"/>
        <v>1</v>
      </c>
      <c r="W125" s="5">
        <v>50.545999999999999</v>
      </c>
      <c r="X125" s="5">
        <v>0.83499999999999996</v>
      </c>
    </row>
    <row r="126" spans="1:24" x14ac:dyDescent="0.25">
      <c r="A126" s="5" t="s">
        <v>450</v>
      </c>
      <c r="B126" s="5">
        <v>29.168013224000003</v>
      </c>
      <c r="C126" s="5">
        <v>3729.0248000000001</v>
      </c>
      <c r="D126" s="6">
        <v>88.899999999999991</v>
      </c>
      <c r="E126" s="6">
        <v>88.899999999999991</v>
      </c>
      <c r="F126" s="5">
        <v>11.1252</v>
      </c>
      <c r="G126" s="5">
        <f t="shared" si="7"/>
        <v>1</v>
      </c>
      <c r="H126" s="6" t="str">
        <f t="shared" si="8"/>
        <v>BB</v>
      </c>
      <c r="I126" s="5">
        <v>26.161999999999999</v>
      </c>
      <c r="J126" s="5">
        <f t="shared" si="9"/>
        <v>0</v>
      </c>
      <c r="K126" s="5">
        <v>0.41299999999999998</v>
      </c>
      <c r="L126" s="5">
        <v>2705504.2663999996</v>
      </c>
      <c r="M126" s="5">
        <v>4.72</v>
      </c>
      <c r="N126" s="5">
        <v>2.64</v>
      </c>
      <c r="O126" s="5">
        <v>26.923999999999999</v>
      </c>
      <c r="P126" s="5">
        <v>6243471.3839999996</v>
      </c>
      <c r="Q126" s="5">
        <v>115364.93055999999</v>
      </c>
      <c r="R126" s="5">
        <v>66695.350479999994</v>
      </c>
      <c r="S126" s="5">
        <v>40.893999999999998</v>
      </c>
      <c r="T126" s="5">
        <f t="shared" si="10"/>
        <v>1</v>
      </c>
      <c r="U126" s="5">
        <f t="shared" si="11"/>
        <v>1</v>
      </c>
      <c r="V126" s="5">
        <f t="shared" si="12"/>
        <v>1</v>
      </c>
      <c r="W126" s="5">
        <v>53.085999999999991</v>
      </c>
      <c r="X126" s="5">
        <v>0.85099999999999998</v>
      </c>
    </row>
    <row r="127" spans="1:24" x14ac:dyDescent="0.25">
      <c r="A127" s="5" t="s">
        <v>451</v>
      </c>
      <c r="B127" s="5">
        <v>29.168013224000003</v>
      </c>
      <c r="C127" s="5">
        <v>3729.0248000000001</v>
      </c>
      <c r="D127" s="6">
        <v>88.899999999999991</v>
      </c>
      <c r="E127" s="6">
        <v>88.899999999999991</v>
      </c>
      <c r="F127" s="5">
        <v>11.1252</v>
      </c>
      <c r="G127" s="5">
        <f t="shared" si="7"/>
        <v>1</v>
      </c>
      <c r="H127" s="6" t="str">
        <f t="shared" si="8"/>
        <v>BB</v>
      </c>
      <c r="I127" s="5">
        <v>26.161999999999999</v>
      </c>
      <c r="J127" s="5">
        <f t="shared" si="9"/>
        <v>0</v>
      </c>
      <c r="K127" s="5">
        <v>0.41299999999999998</v>
      </c>
      <c r="L127" s="5">
        <v>2705504.2663999996</v>
      </c>
      <c r="M127" s="5">
        <v>4.72</v>
      </c>
      <c r="N127" s="5">
        <v>2.64</v>
      </c>
      <c r="O127" s="5">
        <v>26.923999999999999</v>
      </c>
      <c r="P127" s="5">
        <v>7450542.5182399983</v>
      </c>
      <c r="Q127" s="5">
        <v>133062.95967999997</v>
      </c>
      <c r="R127" s="5">
        <v>75708.235679999998</v>
      </c>
      <c r="S127" s="5">
        <v>44.704000000000001</v>
      </c>
      <c r="T127" s="5">
        <f t="shared" si="10"/>
        <v>1</v>
      </c>
      <c r="U127" s="5">
        <f t="shared" si="11"/>
        <v>1</v>
      </c>
      <c r="V127" s="5">
        <f t="shared" si="12"/>
        <v>1</v>
      </c>
      <c r="W127" s="5">
        <v>56.133999999999993</v>
      </c>
      <c r="X127" s="5">
        <v>0.86599999999999999</v>
      </c>
    </row>
    <row r="128" spans="1:24" x14ac:dyDescent="0.25">
      <c r="A128" s="5" t="s">
        <v>452</v>
      </c>
      <c r="B128" s="5">
        <v>25.298786979999999</v>
      </c>
      <c r="C128" s="5">
        <v>3225.7999999999997</v>
      </c>
      <c r="D128" s="6">
        <v>88.899999999999991</v>
      </c>
      <c r="E128" s="6">
        <v>88.899999999999991</v>
      </c>
      <c r="F128" s="5">
        <v>9.5249999999999986</v>
      </c>
      <c r="G128" s="5">
        <f t="shared" si="7"/>
        <v>1</v>
      </c>
      <c r="H128" s="6" t="str">
        <f t="shared" si="8"/>
        <v>BB</v>
      </c>
      <c r="I128" s="5">
        <v>25.4</v>
      </c>
      <c r="J128" s="5">
        <f t="shared" si="9"/>
        <v>0</v>
      </c>
      <c r="K128" s="5">
        <v>0.35699999999999998</v>
      </c>
      <c r="L128" s="5">
        <v>2380843.7544319998</v>
      </c>
      <c r="M128" s="5">
        <v>4.12</v>
      </c>
      <c r="N128" s="5">
        <v>2.2999999999999998</v>
      </c>
      <c r="O128" s="5">
        <v>27.178000000000001</v>
      </c>
      <c r="P128" s="5">
        <v>4495299.3964799996</v>
      </c>
      <c r="Q128" s="5">
        <v>81935.319999999992</v>
      </c>
      <c r="R128" s="5">
        <v>50636.02775999999</v>
      </c>
      <c r="S128" s="5">
        <v>37.337999999999994</v>
      </c>
      <c r="T128" s="5">
        <f t="shared" si="10"/>
        <v>1</v>
      </c>
      <c r="U128" s="5">
        <f t="shared" si="11"/>
        <v>1</v>
      </c>
      <c r="V128" s="5">
        <f t="shared" si="12"/>
        <v>1</v>
      </c>
      <c r="W128" s="5">
        <v>50.545999999999999</v>
      </c>
      <c r="X128" s="5">
        <v>0.83199999999999996</v>
      </c>
    </row>
    <row r="129" spans="1:24" x14ac:dyDescent="0.25">
      <c r="A129" s="5" t="s">
        <v>453</v>
      </c>
      <c r="B129" s="5">
        <v>25.298786979999999</v>
      </c>
      <c r="C129" s="5">
        <v>3225.7999999999997</v>
      </c>
      <c r="D129" s="6">
        <v>88.899999999999991</v>
      </c>
      <c r="E129" s="6">
        <v>88.899999999999991</v>
      </c>
      <c r="F129" s="5">
        <v>9.5249999999999986</v>
      </c>
      <c r="G129" s="5">
        <f t="shared" si="7"/>
        <v>1</v>
      </c>
      <c r="H129" s="6" t="str">
        <f t="shared" si="8"/>
        <v>BB</v>
      </c>
      <c r="I129" s="5">
        <v>25.4</v>
      </c>
      <c r="J129" s="5">
        <f t="shared" si="9"/>
        <v>0</v>
      </c>
      <c r="K129" s="5">
        <v>0.35699999999999998</v>
      </c>
      <c r="L129" s="5">
        <v>2380843.7544319998</v>
      </c>
      <c r="M129" s="5">
        <v>4.12</v>
      </c>
      <c r="N129" s="5">
        <v>2.2999999999999998</v>
      </c>
      <c r="O129" s="5">
        <v>27.178000000000001</v>
      </c>
      <c r="P129" s="5">
        <v>5327762.24768</v>
      </c>
      <c r="Q129" s="5">
        <v>97339.160159999999</v>
      </c>
      <c r="R129" s="5">
        <v>56863.112079999999</v>
      </c>
      <c r="S129" s="5">
        <v>40.64</v>
      </c>
      <c r="T129" s="5">
        <f t="shared" si="10"/>
        <v>1</v>
      </c>
      <c r="U129" s="5">
        <f t="shared" si="11"/>
        <v>1</v>
      </c>
      <c r="V129" s="5">
        <f t="shared" si="12"/>
        <v>1</v>
      </c>
      <c r="W129" s="5">
        <v>53.085999999999991</v>
      </c>
      <c r="X129" s="5">
        <v>0.84799999999999998</v>
      </c>
    </row>
    <row r="130" spans="1:24" x14ac:dyDescent="0.25">
      <c r="A130" s="5" t="s">
        <v>454</v>
      </c>
      <c r="B130" s="5">
        <v>25.298786979999999</v>
      </c>
      <c r="C130" s="5">
        <v>3225.7999999999997</v>
      </c>
      <c r="D130" s="6">
        <v>88.899999999999991</v>
      </c>
      <c r="E130" s="6">
        <v>88.899999999999991</v>
      </c>
      <c r="F130" s="5">
        <v>9.5249999999999986</v>
      </c>
      <c r="G130" s="5">
        <f t="shared" si="7"/>
        <v>1</v>
      </c>
      <c r="H130" s="6" t="str">
        <f t="shared" si="8"/>
        <v>BB</v>
      </c>
      <c r="I130" s="5">
        <v>25.4</v>
      </c>
      <c r="J130" s="5">
        <f t="shared" si="9"/>
        <v>0</v>
      </c>
      <c r="K130" s="5">
        <v>0.35699999999999998</v>
      </c>
      <c r="L130" s="5">
        <v>2380843.7544319998</v>
      </c>
      <c r="M130" s="5">
        <v>4.12</v>
      </c>
      <c r="N130" s="5">
        <v>2.2999999999999998</v>
      </c>
      <c r="O130" s="5">
        <v>27.178000000000001</v>
      </c>
      <c r="P130" s="5">
        <v>6285094.5265599992</v>
      </c>
      <c r="Q130" s="5">
        <v>112743.00031999999</v>
      </c>
      <c r="R130" s="5">
        <v>63909.549599999991</v>
      </c>
      <c r="S130" s="5">
        <v>44.195999999999998</v>
      </c>
      <c r="T130" s="5">
        <f t="shared" si="10"/>
        <v>1</v>
      </c>
      <c r="U130" s="5">
        <f t="shared" si="11"/>
        <v>1</v>
      </c>
      <c r="V130" s="5">
        <f t="shared" si="12"/>
        <v>1</v>
      </c>
      <c r="W130" s="5">
        <v>55.88</v>
      </c>
      <c r="X130" s="5">
        <v>0.86299999999999999</v>
      </c>
    </row>
    <row r="131" spans="1:24" x14ac:dyDescent="0.25">
      <c r="A131" s="5" t="s">
        <v>455</v>
      </c>
      <c r="B131" s="5">
        <v>21.429560735999999</v>
      </c>
      <c r="C131" s="5">
        <v>2709.672</v>
      </c>
      <c r="D131" s="6">
        <v>88.899999999999991</v>
      </c>
      <c r="E131" s="6">
        <v>88.899999999999991</v>
      </c>
      <c r="F131" s="5">
        <v>7.9501999999999997</v>
      </c>
      <c r="G131" s="5">
        <f t="shared" si="7"/>
        <v>1</v>
      </c>
      <c r="H131" s="6" t="str">
        <f t="shared" si="8"/>
        <v>BB</v>
      </c>
      <c r="I131" s="5">
        <v>24.866599999999998</v>
      </c>
      <c r="J131" s="5">
        <f t="shared" si="9"/>
        <v>0</v>
      </c>
      <c r="K131" s="5">
        <v>0.3</v>
      </c>
      <c r="L131" s="5">
        <v>2031209.3569279998</v>
      </c>
      <c r="M131" s="5">
        <v>3.48</v>
      </c>
      <c r="N131" s="5">
        <v>1.94</v>
      </c>
      <c r="O131" s="5">
        <v>27.431999999999999</v>
      </c>
      <c r="P131" s="5">
        <v>3725271.2591199991</v>
      </c>
      <c r="Q131" s="5">
        <v>67350.833039999998</v>
      </c>
      <c r="R131" s="5">
        <v>41950.883839999995</v>
      </c>
      <c r="S131" s="5">
        <v>37.083999999999996</v>
      </c>
      <c r="T131" s="5">
        <f t="shared" si="10"/>
        <v>1</v>
      </c>
      <c r="U131" s="5">
        <f t="shared" si="11"/>
        <v>1</v>
      </c>
      <c r="V131" s="5">
        <f t="shared" si="12"/>
        <v>1</v>
      </c>
      <c r="W131" s="5">
        <v>50.545999999999999</v>
      </c>
      <c r="X131" s="5">
        <v>0.82899999999999996</v>
      </c>
    </row>
    <row r="132" spans="1:24" x14ac:dyDescent="0.25">
      <c r="A132" s="5" t="s">
        <v>456</v>
      </c>
      <c r="B132" s="5">
        <v>21.429560735999999</v>
      </c>
      <c r="C132" s="5">
        <v>2709.672</v>
      </c>
      <c r="D132" s="6">
        <v>88.899999999999991</v>
      </c>
      <c r="E132" s="6">
        <v>88.899999999999991</v>
      </c>
      <c r="F132" s="5">
        <v>7.9501999999999997</v>
      </c>
      <c r="G132" s="5">
        <f t="shared" ref="G132:G195" si="13">G131</f>
        <v>1</v>
      </c>
      <c r="H132" s="6" t="str">
        <f t="shared" ref="H132:H195" si="14">H131</f>
        <v>BB</v>
      </c>
      <c r="I132" s="5">
        <v>24.866599999999998</v>
      </c>
      <c r="J132" s="5">
        <f t="shared" ref="J132:J195" si="15">J131</f>
        <v>0</v>
      </c>
      <c r="K132" s="5">
        <v>0.3</v>
      </c>
      <c r="L132" s="5">
        <v>2031209.3569279998</v>
      </c>
      <c r="M132" s="5">
        <v>3.48</v>
      </c>
      <c r="N132" s="5">
        <v>1.94</v>
      </c>
      <c r="O132" s="5">
        <v>27.431999999999999</v>
      </c>
      <c r="P132" s="5">
        <v>4412053.1113599995</v>
      </c>
      <c r="Q132" s="5">
        <v>80296.613599999997</v>
      </c>
      <c r="R132" s="5">
        <v>47030.873679999997</v>
      </c>
      <c r="S132" s="5">
        <v>40.386000000000003</v>
      </c>
      <c r="T132" s="5">
        <f t="shared" ref="T132:T195" si="16">T131</f>
        <v>1</v>
      </c>
      <c r="U132" s="5">
        <f t="shared" ref="U132:U195" si="17">U131</f>
        <v>1</v>
      </c>
      <c r="V132" s="5">
        <f t="shared" ref="V132:V195" si="18">V131</f>
        <v>1</v>
      </c>
      <c r="W132" s="5">
        <v>53.085999999999991</v>
      </c>
      <c r="X132" s="5">
        <v>0.84499999999999997</v>
      </c>
    </row>
    <row r="133" spans="1:24" x14ac:dyDescent="0.25">
      <c r="A133" s="5" t="s">
        <v>457</v>
      </c>
      <c r="B133" s="5">
        <v>21.429560735999999</v>
      </c>
      <c r="C133" s="5">
        <v>2709.672</v>
      </c>
      <c r="D133" s="6">
        <v>88.899999999999991</v>
      </c>
      <c r="E133" s="6">
        <v>88.899999999999991</v>
      </c>
      <c r="F133" s="5">
        <v>7.9501999999999997</v>
      </c>
      <c r="G133" s="5">
        <f t="shared" si="13"/>
        <v>1</v>
      </c>
      <c r="H133" s="6" t="str">
        <f t="shared" si="14"/>
        <v>BB</v>
      </c>
      <c r="I133" s="5">
        <v>24.866599999999998</v>
      </c>
      <c r="J133" s="5">
        <f t="shared" si="15"/>
        <v>0</v>
      </c>
      <c r="K133" s="5">
        <v>0.3</v>
      </c>
      <c r="L133" s="5">
        <v>2031209.3569279998</v>
      </c>
      <c r="M133" s="5">
        <v>3.48</v>
      </c>
      <c r="N133" s="5">
        <v>1.94</v>
      </c>
      <c r="O133" s="5">
        <v>27.431999999999999</v>
      </c>
      <c r="P133" s="5">
        <v>5244515.962559999</v>
      </c>
      <c r="Q133" s="5">
        <v>93242.394159999996</v>
      </c>
      <c r="R133" s="5">
        <v>53257.957999999999</v>
      </c>
      <c r="S133" s="5">
        <v>43.942</v>
      </c>
      <c r="T133" s="5">
        <f t="shared" si="16"/>
        <v>1</v>
      </c>
      <c r="U133" s="5">
        <f t="shared" si="17"/>
        <v>1</v>
      </c>
      <c r="V133" s="5">
        <f t="shared" si="18"/>
        <v>1</v>
      </c>
      <c r="W133" s="5">
        <v>55.88</v>
      </c>
      <c r="X133" s="5">
        <v>0.86</v>
      </c>
    </row>
    <row r="134" spans="1:24" x14ac:dyDescent="0.25">
      <c r="A134" s="5" t="s">
        <v>458</v>
      </c>
      <c r="B134" s="5">
        <v>17.262701703999998</v>
      </c>
      <c r="C134" s="5">
        <v>2193.5439999999999</v>
      </c>
      <c r="D134" s="6">
        <v>88.899999999999991</v>
      </c>
      <c r="E134" s="6">
        <v>88.899999999999991</v>
      </c>
      <c r="F134" s="5">
        <v>6.35</v>
      </c>
      <c r="G134" s="5">
        <f t="shared" si="13"/>
        <v>1</v>
      </c>
      <c r="H134" s="6" t="str">
        <f t="shared" si="14"/>
        <v>BB</v>
      </c>
      <c r="I134" s="5">
        <v>24.231599999999997</v>
      </c>
      <c r="J134" s="5">
        <f t="shared" si="15"/>
        <v>0</v>
      </c>
      <c r="K134" s="5">
        <v>0.24299999999999999</v>
      </c>
      <c r="L134" s="5">
        <v>1664925.7023999998</v>
      </c>
      <c r="M134" s="5">
        <v>2.82</v>
      </c>
      <c r="N134" s="5">
        <v>1.57</v>
      </c>
      <c r="O134" s="5">
        <v>27.686</v>
      </c>
      <c r="P134" s="5">
        <v>2934431.5504799997</v>
      </c>
      <c r="Q134" s="5">
        <v>53094.087359999998</v>
      </c>
      <c r="R134" s="5">
        <v>32937.998639999991</v>
      </c>
      <c r="S134" s="5">
        <v>36.575999999999993</v>
      </c>
      <c r="T134" s="5">
        <f t="shared" si="16"/>
        <v>1</v>
      </c>
      <c r="U134" s="5">
        <f t="shared" si="17"/>
        <v>1</v>
      </c>
      <c r="V134" s="5">
        <f t="shared" si="18"/>
        <v>1</v>
      </c>
      <c r="W134" s="5">
        <v>50.545999999999999</v>
      </c>
      <c r="X134" s="5">
        <v>0.82599999999999996</v>
      </c>
    </row>
    <row r="135" spans="1:24" x14ac:dyDescent="0.25">
      <c r="A135" s="5" t="s">
        <v>459</v>
      </c>
      <c r="B135" s="5">
        <v>17.262701703999998</v>
      </c>
      <c r="C135" s="5">
        <v>2193.5439999999999</v>
      </c>
      <c r="D135" s="6">
        <v>88.899999999999991</v>
      </c>
      <c r="E135" s="6">
        <v>88.899999999999991</v>
      </c>
      <c r="F135" s="5">
        <v>6.35</v>
      </c>
      <c r="G135" s="5">
        <f t="shared" si="13"/>
        <v>1</v>
      </c>
      <c r="H135" s="6" t="str">
        <f t="shared" si="14"/>
        <v>BB</v>
      </c>
      <c r="I135" s="5">
        <v>24.231599999999997</v>
      </c>
      <c r="J135" s="5">
        <f t="shared" si="15"/>
        <v>0</v>
      </c>
      <c r="K135" s="5">
        <v>0.24299999999999999</v>
      </c>
      <c r="L135" s="5">
        <v>1664925.7023999998</v>
      </c>
      <c r="M135" s="5">
        <v>2.82</v>
      </c>
      <c r="N135" s="5">
        <v>1.57</v>
      </c>
      <c r="O135" s="5">
        <v>27.686</v>
      </c>
      <c r="P135" s="5">
        <v>3488019.3465280002</v>
      </c>
      <c r="Q135" s="5">
        <v>63581.808319999989</v>
      </c>
      <c r="R135" s="5">
        <v>37198.635279999995</v>
      </c>
      <c r="S135" s="5">
        <v>39.878</v>
      </c>
      <c r="T135" s="5">
        <f t="shared" si="16"/>
        <v>1</v>
      </c>
      <c r="U135" s="5">
        <f t="shared" si="17"/>
        <v>1</v>
      </c>
      <c r="V135" s="5">
        <f t="shared" si="18"/>
        <v>1</v>
      </c>
      <c r="W135" s="5">
        <v>52.832000000000001</v>
      </c>
      <c r="X135" s="5">
        <v>0.84199999999999997</v>
      </c>
    </row>
    <row r="136" spans="1:24" x14ac:dyDescent="0.25">
      <c r="A136" s="5" t="s">
        <v>460</v>
      </c>
      <c r="B136" s="5">
        <v>17.262701703999998</v>
      </c>
      <c r="C136" s="5">
        <v>2193.5439999999999</v>
      </c>
      <c r="D136" s="6">
        <v>88.899999999999991</v>
      </c>
      <c r="E136" s="6">
        <v>88.899999999999991</v>
      </c>
      <c r="F136" s="5">
        <v>6.35</v>
      </c>
      <c r="G136" s="5">
        <f t="shared" si="13"/>
        <v>1</v>
      </c>
      <c r="H136" s="6" t="str">
        <f t="shared" si="14"/>
        <v>BB</v>
      </c>
      <c r="I136" s="5">
        <v>24.231599999999997</v>
      </c>
      <c r="J136" s="5">
        <f t="shared" si="15"/>
        <v>0</v>
      </c>
      <c r="K136" s="5">
        <v>0.24299999999999999</v>
      </c>
      <c r="L136" s="5">
        <v>1664925.7023999998</v>
      </c>
      <c r="M136" s="5">
        <v>2.82</v>
      </c>
      <c r="N136" s="5">
        <v>1.57</v>
      </c>
      <c r="O136" s="5">
        <v>27.686</v>
      </c>
      <c r="P136" s="5">
        <v>4203937.3985599997</v>
      </c>
      <c r="Q136" s="5">
        <v>74069.529279999988</v>
      </c>
      <c r="R136" s="5">
        <v>42770.237039999993</v>
      </c>
      <c r="S136" s="5">
        <v>43.687999999999995</v>
      </c>
      <c r="T136" s="5">
        <f t="shared" si="16"/>
        <v>1</v>
      </c>
      <c r="U136" s="5">
        <f t="shared" si="17"/>
        <v>1</v>
      </c>
      <c r="V136" s="5">
        <f t="shared" si="18"/>
        <v>1</v>
      </c>
      <c r="W136" s="5">
        <v>55.625999999999998</v>
      </c>
      <c r="X136" s="5">
        <v>0.85699999999999998</v>
      </c>
    </row>
    <row r="137" spans="1:24" x14ac:dyDescent="0.25">
      <c r="A137" s="5" t="s">
        <v>461</v>
      </c>
      <c r="B137" s="5">
        <v>27.977482072000001</v>
      </c>
      <c r="C137" s="5">
        <v>3561.2831999999994</v>
      </c>
      <c r="D137" s="6">
        <v>76.199999999999989</v>
      </c>
      <c r="E137" s="6">
        <v>76.199999999999989</v>
      </c>
      <c r="F137" s="5">
        <v>12.7</v>
      </c>
      <c r="G137" s="5">
        <f t="shared" si="13"/>
        <v>1</v>
      </c>
      <c r="H137" s="6" t="str">
        <f t="shared" si="14"/>
        <v>BB</v>
      </c>
      <c r="I137" s="5">
        <v>23.596599999999999</v>
      </c>
      <c r="J137" s="5">
        <f t="shared" si="15"/>
        <v>0</v>
      </c>
      <c r="K137" s="5">
        <v>0.46</v>
      </c>
      <c r="L137" s="5">
        <v>1831418.2726399999</v>
      </c>
      <c r="M137" s="5">
        <v>3.82</v>
      </c>
      <c r="N137" s="5">
        <v>2.12</v>
      </c>
      <c r="O137" s="5">
        <v>22.733000000000001</v>
      </c>
      <c r="P137" s="5">
        <v>3825166.8012639992</v>
      </c>
      <c r="Q137" s="5">
        <v>84065.638319999984</v>
      </c>
      <c r="R137" s="5">
        <v>50144.415839999994</v>
      </c>
      <c r="S137" s="5">
        <v>32.765999999999998</v>
      </c>
      <c r="T137" s="5">
        <f t="shared" si="16"/>
        <v>1</v>
      </c>
      <c r="U137" s="5">
        <f t="shared" si="17"/>
        <v>1</v>
      </c>
      <c r="V137" s="5">
        <f t="shared" si="18"/>
        <v>1</v>
      </c>
      <c r="W137" s="5">
        <v>43.433999999999997</v>
      </c>
      <c r="X137" s="5">
        <v>0.84199999999999997</v>
      </c>
    </row>
    <row r="138" spans="1:24" x14ac:dyDescent="0.25">
      <c r="A138" s="5" t="s">
        <v>462</v>
      </c>
      <c r="B138" s="5">
        <v>27.977482072000001</v>
      </c>
      <c r="C138" s="5">
        <v>3561.2831999999994</v>
      </c>
      <c r="D138" s="6">
        <v>76.199999999999989</v>
      </c>
      <c r="E138" s="6">
        <v>76.199999999999989</v>
      </c>
      <c r="F138" s="5">
        <v>12.7</v>
      </c>
      <c r="G138" s="5">
        <v>9.5</v>
      </c>
      <c r="H138" s="6" t="str">
        <f t="shared" si="14"/>
        <v>BB</v>
      </c>
      <c r="I138" s="5">
        <v>23.596599999999999</v>
      </c>
      <c r="J138" s="5">
        <f t="shared" si="15"/>
        <v>0</v>
      </c>
      <c r="K138" s="5">
        <v>0.46</v>
      </c>
      <c r="L138" s="5">
        <v>1831418.2726399999</v>
      </c>
      <c r="M138" s="5">
        <v>3.82</v>
      </c>
      <c r="N138" s="5">
        <v>2.12</v>
      </c>
      <c r="O138" s="5">
        <v>22.733000000000001</v>
      </c>
      <c r="P138" s="5">
        <v>4703415.1092799995</v>
      </c>
      <c r="Q138" s="5">
        <v>100944.31423999999</v>
      </c>
      <c r="R138" s="5">
        <v>58174.077199999992</v>
      </c>
      <c r="S138" s="5">
        <v>36.321999999999996</v>
      </c>
      <c r="T138" s="5">
        <f>0.23*25.4^4</f>
        <v>95733.227887999994</v>
      </c>
      <c r="U138" s="5">
        <f>0.144*25.4^6</f>
        <v>38669164.781773821</v>
      </c>
      <c r="V138" s="5">
        <f>0.58*25.4</f>
        <v>14.731999999999998</v>
      </c>
      <c r="W138" s="5">
        <v>46.228000000000002</v>
      </c>
      <c r="X138" s="5">
        <v>0.86099999999999999</v>
      </c>
    </row>
    <row r="139" spans="1:24" x14ac:dyDescent="0.25">
      <c r="A139" s="5" t="s">
        <v>463</v>
      </c>
      <c r="B139" s="5">
        <v>27.977482072000001</v>
      </c>
      <c r="C139" s="5">
        <v>3561.2831999999994</v>
      </c>
      <c r="D139" s="6">
        <v>76.199999999999989</v>
      </c>
      <c r="E139" s="6">
        <v>76.199999999999989</v>
      </c>
      <c r="F139" s="5">
        <v>12.7</v>
      </c>
      <c r="G139" s="5">
        <v>1</v>
      </c>
      <c r="H139" s="6" t="str">
        <f t="shared" si="14"/>
        <v>BB</v>
      </c>
      <c r="I139" s="5">
        <v>23.596599999999999</v>
      </c>
      <c r="J139" s="5">
        <f t="shared" si="15"/>
        <v>0</v>
      </c>
      <c r="K139" s="5">
        <v>0.46</v>
      </c>
      <c r="L139" s="5">
        <v>1831418.2726399999</v>
      </c>
      <c r="M139" s="5">
        <v>3.82</v>
      </c>
      <c r="N139" s="5">
        <v>2.12</v>
      </c>
      <c r="O139" s="5">
        <v>22.733000000000001</v>
      </c>
      <c r="P139" s="5">
        <v>5743993.6732799998</v>
      </c>
      <c r="Q139" s="5">
        <v>117986.86079999999</v>
      </c>
      <c r="R139" s="5">
        <v>67023.091759999996</v>
      </c>
      <c r="S139" s="5">
        <v>40.131999999999998</v>
      </c>
      <c r="T139" s="5">
        <v>1</v>
      </c>
      <c r="U139" s="5">
        <v>1</v>
      </c>
      <c r="V139" s="5">
        <v>1</v>
      </c>
      <c r="W139" s="5">
        <v>49.275999999999996</v>
      </c>
      <c r="X139" s="5">
        <v>0.878</v>
      </c>
    </row>
    <row r="140" spans="1:24" x14ac:dyDescent="0.25">
      <c r="A140" s="5" t="s">
        <v>464</v>
      </c>
      <c r="B140" s="5">
        <v>24.703521404</v>
      </c>
      <c r="C140" s="5">
        <v>3135.4776000000002</v>
      </c>
      <c r="D140" s="6">
        <v>76.199999999999989</v>
      </c>
      <c r="E140" s="6">
        <v>76.199999999999989</v>
      </c>
      <c r="F140" s="5">
        <v>11.1252</v>
      </c>
      <c r="G140" s="5">
        <f t="shared" si="13"/>
        <v>1</v>
      </c>
      <c r="H140" s="6" t="str">
        <f t="shared" si="14"/>
        <v>BB</v>
      </c>
      <c r="I140" s="5">
        <v>23.037800000000001</v>
      </c>
      <c r="J140" s="5">
        <f t="shared" si="15"/>
        <v>0</v>
      </c>
      <c r="K140" s="5">
        <v>0.40500000000000003</v>
      </c>
      <c r="L140" s="5">
        <v>1648276.4453759999</v>
      </c>
      <c r="M140" s="5">
        <v>3.4</v>
      </c>
      <c r="N140" s="5">
        <v>1.89</v>
      </c>
      <c r="O140" s="5">
        <v>22.936199999999999</v>
      </c>
      <c r="P140" s="5">
        <v>3313202.1477759997</v>
      </c>
      <c r="Q140" s="5">
        <v>72266.952239999999</v>
      </c>
      <c r="R140" s="5">
        <v>43425.719599999997</v>
      </c>
      <c r="S140" s="5">
        <v>32.512</v>
      </c>
      <c r="T140" s="5">
        <f t="shared" si="16"/>
        <v>1</v>
      </c>
      <c r="U140" s="5">
        <f t="shared" si="17"/>
        <v>1</v>
      </c>
      <c r="V140" s="5">
        <f t="shared" si="18"/>
        <v>1</v>
      </c>
      <c r="W140" s="5">
        <v>43.433999999999997</v>
      </c>
      <c r="X140" s="5">
        <v>0.83799999999999997</v>
      </c>
    </row>
    <row r="141" spans="1:24" x14ac:dyDescent="0.25">
      <c r="A141" s="5" t="s">
        <v>465</v>
      </c>
      <c r="B141" s="5">
        <v>24.703521404</v>
      </c>
      <c r="C141" s="5">
        <v>3135.4776000000002</v>
      </c>
      <c r="D141" s="6">
        <v>76.199999999999989</v>
      </c>
      <c r="E141" s="6">
        <v>76.199999999999989</v>
      </c>
      <c r="F141" s="5">
        <v>11.1252</v>
      </c>
      <c r="G141" s="5">
        <f t="shared" si="13"/>
        <v>1</v>
      </c>
      <c r="H141" s="6" t="str">
        <f t="shared" si="14"/>
        <v>BB</v>
      </c>
      <c r="I141" s="5">
        <v>23.037800000000001</v>
      </c>
      <c r="J141" s="5">
        <f t="shared" si="15"/>
        <v>0</v>
      </c>
      <c r="K141" s="5">
        <v>0.40500000000000003</v>
      </c>
      <c r="L141" s="5">
        <v>1648276.4453759999</v>
      </c>
      <c r="M141" s="5">
        <v>3.4</v>
      </c>
      <c r="N141" s="5">
        <v>1.89</v>
      </c>
      <c r="O141" s="5">
        <v>22.936199999999999</v>
      </c>
      <c r="P141" s="5">
        <v>4079067.9708799999</v>
      </c>
      <c r="Q141" s="5">
        <v>87179.180479999995</v>
      </c>
      <c r="R141" s="5">
        <v>50308.286479999995</v>
      </c>
      <c r="S141" s="5">
        <v>36.067999999999998</v>
      </c>
      <c r="T141" s="5">
        <f t="shared" si="16"/>
        <v>1</v>
      </c>
      <c r="U141" s="5">
        <f t="shared" si="17"/>
        <v>1</v>
      </c>
      <c r="V141" s="5">
        <f t="shared" si="18"/>
        <v>1</v>
      </c>
      <c r="W141" s="5">
        <v>46.228000000000002</v>
      </c>
      <c r="X141" s="5">
        <v>0.85699999999999998</v>
      </c>
    </row>
    <row r="142" spans="1:24" x14ac:dyDescent="0.25">
      <c r="A142" s="5" t="s">
        <v>466</v>
      </c>
      <c r="B142" s="5">
        <v>24.703521404</v>
      </c>
      <c r="C142" s="5">
        <v>3135.4776000000002</v>
      </c>
      <c r="D142" s="6">
        <v>76.199999999999989</v>
      </c>
      <c r="E142" s="6">
        <v>76.199999999999989</v>
      </c>
      <c r="F142" s="5">
        <v>11.1252</v>
      </c>
      <c r="G142" s="5">
        <f t="shared" si="13"/>
        <v>1</v>
      </c>
      <c r="H142" s="6" t="str">
        <f t="shared" si="14"/>
        <v>BB</v>
      </c>
      <c r="I142" s="5">
        <v>23.037800000000001</v>
      </c>
      <c r="J142" s="5">
        <f t="shared" si="15"/>
        <v>0</v>
      </c>
      <c r="K142" s="5">
        <v>0.40500000000000003</v>
      </c>
      <c r="L142" s="5">
        <v>1648276.4453759999</v>
      </c>
      <c r="M142" s="5">
        <v>3.4</v>
      </c>
      <c r="N142" s="5">
        <v>1.89</v>
      </c>
      <c r="O142" s="5">
        <v>22.936199999999999</v>
      </c>
      <c r="P142" s="5">
        <v>4994777.1071999995</v>
      </c>
      <c r="Q142" s="5">
        <v>102091.40871999999</v>
      </c>
      <c r="R142" s="5">
        <v>58337.947839999993</v>
      </c>
      <c r="S142" s="5">
        <v>39.878</v>
      </c>
      <c r="T142" s="5">
        <f t="shared" si="16"/>
        <v>1</v>
      </c>
      <c r="U142" s="5">
        <f t="shared" si="17"/>
        <v>1</v>
      </c>
      <c r="V142" s="5">
        <f t="shared" si="18"/>
        <v>1</v>
      </c>
      <c r="W142" s="5">
        <v>49.275999999999996</v>
      </c>
      <c r="X142" s="5">
        <v>0.874</v>
      </c>
    </row>
    <row r="143" spans="1:24" x14ac:dyDescent="0.25">
      <c r="A143" s="5" t="s">
        <v>467</v>
      </c>
      <c r="B143" s="5">
        <v>21.429560735999999</v>
      </c>
      <c r="C143" s="5">
        <v>2722.5751999999998</v>
      </c>
      <c r="D143" s="6">
        <v>76.199999999999989</v>
      </c>
      <c r="E143" s="6">
        <v>76.199999999999989</v>
      </c>
      <c r="F143" s="5">
        <v>9.5249999999999986</v>
      </c>
      <c r="G143" s="5">
        <f t="shared" si="13"/>
        <v>1</v>
      </c>
      <c r="H143" s="6" t="str">
        <f t="shared" si="14"/>
        <v>BB</v>
      </c>
      <c r="I143" s="5">
        <v>22.453599999999998</v>
      </c>
      <c r="J143" s="5">
        <f t="shared" si="15"/>
        <v>0</v>
      </c>
      <c r="K143" s="5">
        <v>0.35199999999999998</v>
      </c>
      <c r="L143" s="5">
        <v>1456809.9896</v>
      </c>
      <c r="M143" s="5">
        <v>2.96</v>
      </c>
      <c r="N143" s="5">
        <v>1.65</v>
      </c>
      <c r="O143" s="5">
        <v>23.114000000000001</v>
      </c>
      <c r="P143" s="5">
        <v>2834536.0083359997</v>
      </c>
      <c r="Q143" s="5">
        <v>61123.748719999996</v>
      </c>
      <c r="R143" s="5">
        <v>37198.635279999995</v>
      </c>
      <c r="S143" s="5">
        <v>32.257999999999996</v>
      </c>
      <c r="T143" s="5">
        <f t="shared" si="16"/>
        <v>1</v>
      </c>
      <c r="U143" s="5">
        <f t="shared" si="17"/>
        <v>1</v>
      </c>
      <c r="V143" s="5">
        <f t="shared" si="18"/>
        <v>1</v>
      </c>
      <c r="W143" s="5">
        <v>43.433999999999997</v>
      </c>
      <c r="X143" s="5">
        <v>0.83399999999999996</v>
      </c>
    </row>
    <row r="144" spans="1:24" x14ac:dyDescent="0.25">
      <c r="A144" s="5" t="s">
        <v>468</v>
      </c>
      <c r="B144" s="5">
        <v>21.429560735999999</v>
      </c>
      <c r="C144" s="5">
        <v>2722.5751999999998</v>
      </c>
      <c r="D144" s="6">
        <v>76.199999999999989</v>
      </c>
      <c r="E144" s="6">
        <v>76.199999999999989</v>
      </c>
      <c r="F144" s="5">
        <v>9.5249999999999986</v>
      </c>
      <c r="G144" s="5">
        <f t="shared" si="13"/>
        <v>1</v>
      </c>
      <c r="H144" s="6" t="str">
        <f t="shared" si="14"/>
        <v>BB</v>
      </c>
      <c r="I144" s="5">
        <v>22.453599999999998</v>
      </c>
      <c r="J144" s="5">
        <f t="shared" si="15"/>
        <v>0</v>
      </c>
      <c r="K144" s="5">
        <v>0.35199999999999998</v>
      </c>
      <c r="L144" s="5">
        <v>1456809.9896</v>
      </c>
      <c r="M144" s="5">
        <v>2.96</v>
      </c>
      <c r="N144" s="5">
        <v>1.65</v>
      </c>
      <c r="O144" s="5">
        <v>23.114000000000001</v>
      </c>
      <c r="P144" s="5">
        <v>3492181.6607840001</v>
      </c>
      <c r="Q144" s="5">
        <v>74069.529279999988</v>
      </c>
      <c r="R144" s="5">
        <v>43097.978319999995</v>
      </c>
      <c r="S144" s="5">
        <v>35.813999999999993</v>
      </c>
      <c r="T144" s="5">
        <f t="shared" si="16"/>
        <v>1</v>
      </c>
      <c r="U144" s="5">
        <f t="shared" si="17"/>
        <v>1</v>
      </c>
      <c r="V144" s="5">
        <f t="shared" si="18"/>
        <v>1</v>
      </c>
      <c r="W144" s="5">
        <v>45.973999999999997</v>
      </c>
      <c r="X144" s="5">
        <v>0.85299999999999998</v>
      </c>
    </row>
    <row r="145" spans="1:24" x14ac:dyDescent="0.25">
      <c r="A145" s="5" t="s">
        <v>469</v>
      </c>
      <c r="B145" s="5">
        <v>21.429560735999999</v>
      </c>
      <c r="C145" s="5">
        <v>2722.5751999999998</v>
      </c>
      <c r="D145" s="6">
        <v>76.199999999999989</v>
      </c>
      <c r="E145" s="6">
        <v>76.199999999999989</v>
      </c>
      <c r="F145" s="5">
        <v>9.5249999999999986</v>
      </c>
      <c r="G145" s="5">
        <f t="shared" si="13"/>
        <v>1</v>
      </c>
      <c r="H145" s="6" t="str">
        <f t="shared" si="14"/>
        <v>BB</v>
      </c>
      <c r="I145" s="5">
        <v>22.453599999999998</v>
      </c>
      <c r="J145" s="5">
        <f t="shared" si="15"/>
        <v>0</v>
      </c>
      <c r="K145" s="5">
        <v>0.35199999999999998</v>
      </c>
      <c r="L145" s="5">
        <v>1456809.9896</v>
      </c>
      <c r="M145" s="5">
        <v>2.96</v>
      </c>
      <c r="N145" s="5">
        <v>1.65</v>
      </c>
      <c r="O145" s="5">
        <v>23.114000000000001</v>
      </c>
      <c r="P145" s="5">
        <v>4203937.3985599997</v>
      </c>
      <c r="Q145" s="5">
        <v>87015.309839999987</v>
      </c>
      <c r="R145" s="5">
        <v>48997.321360000002</v>
      </c>
      <c r="S145" s="5">
        <v>39.369999999999997</v>
      </c>
      <c r="T145" s="5">
        <f t="shared" si="16"/>
        <v>1</v>
      </c>
      <c r="U145" s="5">
        <f t="shared" si="17"/>
        <v>1</v>
      </c>
      <c r="V145" s="5">
        <f t="shared" si="18"/>
        <v>1</v>
      </c>
      <c r="W145" s="5">
        <v>49.021999999999998</v>
      </c>
      <c r="X145" s="5">
        <v>0.87</v>
      </c>
    </row>
    <row r="146" spans="1:24" x14ac:dyDescent="0.25">
      <c r="A146" s="5" t="s">
        <v>470</v>
      </c>
      <c r="B146" s="5">
        <v>18.155600067999998</v>
      </c>
      <c r="C146" s="5">
        <v>2296.7696000000001</v>
      </c>
      <c r="D146" s="6">
        <v>76.199999999999989</v>
      </c>
      <c r="E146" s="6">
        <v>76.199999999999989</v>
      </c>
      <c r="F146" s="5">
        <v>7.9501999999999997</v>
      </c>
      <c r="G146" s="5">
        <f t="shared" si="13"/>
        <v>1</v>
      </c>
      <c r="H146" s="6" t="str">
        <f t="shared" si="14"/>
        <v>BB</v>
      </c>
      <c r="I146" s="5">
        <v>21.843999999999998</v>
      </c>
      <c r="J146" s="5">
        <f t="shared" si="15"/>
        <v>0</v>
      </c>
      <c r="K146" s="5">
        <v>0.29699999999999999</v>
      </c>
      <c r="L146" s="5">
        <v>1248694.2767999999</v>
      </c>
      <c r="M146" s="5">
        <v>2.52</v>
      </c>
      <c r="N146" s="5">
        <v>1.4</v>
      </c>
      <c r="O146" s="5">
        <v>23.3172</v>
      </c>
      <c r="P146" s="5">
        <v>2351707.5546399998</v>
      </c>
      <c r="Q146" s="5">
        <v>50144.415839999994</v>
      </c>
      <c r="R146" s="5">
        <v>30807.680319999996</v>
      </c>
      <c r="S146" s="5">
        <v>32.003999999999998</v>
      </c>
      <c r="T146" s="5">
        <f t="shared" si="16"/>
        <v>1</v>
      </c>
      <c r="U146" s="5">
        <f t="shared" si="17"/>
        <v>1</v>
      </c>
      <c r="V146" s="5">
        <f t="shared" si="18"/>
        <v>1</v>
      </c>
      <c r="W146" s="5">
        <v>43.433999999999997</v>
      </c>
      <c r="X146" s="5">
        <v>0.83</v>
      </c>
    </row>
    <row r="147" spans="1:24" x14ac:dyDescent="0.25">
      <c r="A147" s="5" t="s">
        <v>471</v>
      </c>
      <c r="B147" s="5">
        <v>18.155600067999998</v>
      </c>
      <c r="C147" s="5">
        <v>2296.7696000000001</v>
      </c>
      <c r="D147" s="6">
        <v>76.199999999999989</v>
      </c>
      <c r="E147" s="6">
        <v>76.199999999999989</v>
      </c>
      <c r="F147" s="5">
        <v>7.9501999999999997</v>
      </c>
      <c r="G147" s="5">
        <f t="shared" si="13"/>
        <v>1</v>
      </c>
      <c r="H147" s="6" t="str">
        <f t="shared" si="14"/>
        <v>BB</v>
      </c>
      <c r="I147" s="5">
        <v>21.843999999999998</v>
      </c>
      <c r="J147" s="5">
        <f t="shared" si="15"/>
        <v>0</v>
      </c>
      <c r="K147" s="5">
        <v>0.29699999999999999</v>
      </c>
      <c r="L147" s="5">
        <v>1248694.2767999999</v>
      </c>
      <c r="M147" s="5">
        <v>2.52</v>
      </c>
      <c r="N147" s="5">
        <v>1.4</v>
      </c>
      <c r="O147" s="5">
        <v>23.3172</v>
      </c>
      <c r="P147" s="5">
        <v>2863672.2081279997</v>
      </c>
      <c r="Q147" s="5">
        <v>61123.748719999996</v>
      </c>
      <c r="R147" s="5">
        <v>35396.058239999998</v>
      </c>
      <c r="S147" s="5">
        <v>35.305999999999997</v>
      </c>
      <c r="T147" s="5">
        <f t="shared" si="16"/>
        <v>1</v>
      </c>
      <c r="U147" s="5">
        <f t="shared" si="17"/>
        <v>1</v>
      </c>
      <c r="V147" s="5">
        <f t="shared" si="18"/>
        <v>1</v>
      </c>
      <c r="W147" s="5">
        <v>45.973999999999997</v>
      </c>
      <c r="X147" s="5">
        <v>0.84899999999999998</v>
      </c>
    </row>
    <row r="148" spans="1:24" x14ac:dyDescent="0.25">
      <c r="A148" s="5" t="s">
        <v>472</v>
      </c>
      <c r="B148" s="5">
        <v>18.155600067999998</v>
      </c>
      <c r="C148" s="5">
        <v>2296.7696000000001</v>
      </c>
      <c r="D148" s="6">
        <v>76.199999999999989</v>
      </c>
      <c r="E148" s="6">
        <v>76.199999999999989</v>
      </c>
      <c r="F148" s="5">
        <v>7.9501999999999997</v>
      </c>
      <c r="G148" s="5">
        <f t="shared" si="13"/>
        <v>1</v>
      </c>
      <c r="H148" s="6" t="str">
        <f t="shared" si="14"/>
        <v>BB</v>
      </c>
      <c r="I148" s="5">
        <v>21.843999999999998</v>
      </c>
      <c r="J148" s="5">
        <f t="shared" si="15"/>
        <v>0</v>
      </c>
      <c r="K148" s="5">
        <v>0.29699999999999999</v>
      </c>
      <c r="L148" s="5">
        <v>1248694.2767999999</v>
      </c>
      <c r="M148" s="5">
        <v>2.52</v>
      </c>
      <c r="N148" s="5">
        <v>1.4</v>
      </c>
      <c r="O148" s="5">
        <v>23.3172</v>
      </c>
      <c r="P148" s="5">
        <v>3512993.2320639994</v>
      </c>
      <c r="Q148" s="5">
        <v>72103.081600000005</v>
      </c>
      <c r="R148" s="5">
        <v>40967.659999999996</v>
      </c>
      <c r="S148" s="5">
        <v>39.116</v>
      </c>
      <c r="T148" s="5">
        <f t="shared" si="16"/>
        <v>1</v>
      </c>
      <c r="U148" s="5">
        <f t="shared" si="17"/>
        <v>1</v>
      </c>
      <c r="V148" s="5">
        <f t="shared" si="18"/>
        <v>1</v>
      </c>
      <c r="W148" s="5">
        <v>49.021999999999998</v>
      </c>
      <c r="X148" s="5">
        <v>0.86599999999999999</v>
      </c>
    </row>
    <row r="149" spans="1:24" x14ac:dyDescent="0.25">
      <c r="A149" s="5" t="s">
        <v>473</v>
      </c>
      <c r="B149" s="5">
        <v>14.584006612000001</v>
      </c>
      <c r="C149" s="5">
        <v>1858.0607999999997</v>
      </c>
      <c r="D149" s="6">
        <v>76.199999999999989</v>
      </c>
      <c r="E149" s="6">
        <v>76.199999999999989</v>
      </c>
      <c r="F149" s="5">
        <v>6.35</v>
      </c>
      <c r="G149" s="5">
        <f t="shared" si="13"/>
        <v>1</v>
      </c>
      <c r="H149" s="6" t="str">
        <f t="shared" si="14"/>
        <v>BB</v>
      </c>
      <c r="I149" s="5">
        <v>21.234399999999997</v>
      </c>
      <c r="J149" s="5">
        <f t="shared" si="15"/>
        <v>0</v>
      </c>
      <c r="K149" s="5">
        <v>0.24</v>
      </c>
      <c r="L149" s="5">
        <v>1023929.3069759998</v>
      </c>
      <c r="M149" s="5">
        <v>2.04</v>
      </c>
      <c r="N149" s="5">
        <v>1.1399999999999999</v>
      </c>
      <c r="O149" s="5">
        <v>23.520399999999999</v>
      </c>
      <c r="P149" s="5">
        <v>1873041.4151999997</v>
      </c>
      <c r="Q149" s="5">
        <v>39492.824240000002</v>
      </c>
      <c r="R149" s="5">
        <v>24580.595999999998</v>
      </c>
      <c r="S149" s="5">
        <v>31.75</v>
      </c>
      <c r="T149" s="5">
        <f t="shared" si="16"/>
        <v>1</v>
      </c>
      <c r="U149" s="5">
        <f t="shared" si="17"/>
        <v>1</v>
      </c>
      <c r="V149" s="5">
        <f t="shared" si="18"/>
        <v>1</v>
      </c>
      <c r="W149" s="5">
        <v>43.433999999999997</v>
      </c>
      <c r="X149" s="5">
        <v>0.82699999999999996</v>
      </c>
    </row>
    <row r="150" spans="1:24" x14ac:dyDescent="0.25">
      <c r="A150" s="5" t="s">
        <v>474</v>
      </c>
      <c r="B150" s="5">
        <v>14.584006612000001</v>
      </c>
      <c r="C150" s="5">
        <v>1858.0607999999997</v>
      </c>
      <c r="D150" s="6">
        <v>76.199999999999989</v>
      </c>
      <c r="E150" s="6">
        <v>76.199999999999989</v>
      </c>
      <c r="F150" s="5">
        <v>6.35</v>
      </c>
      <c r="G150" s="5">
        <f t="shared" si="13"/>
        <v>1</v>
      </c>
      <c r="H150" s="6" t="str">
        <f t="shared" si="14"/>
        <v>BB</v>
      </c>
      <c r="I150" s="5">
        <v>21.234399999999997</v>
      </c>
      <c r="J150" s="5">
        <f t="shared" si="15"/>
        <v>0</v>
      </c>
      <c r="K150" s="5">
        <v>0.24</v>
      </c>
      <c r="L150" s="5">
        <v>1023929.3069759998</v>
      </c>
      <c r="M150" s="5">
        <v>2.04</v>
      </c>
      <c r="N150" s="5">
        <v>1.1399999999999999</v>
      </c>
      <c r="O150" s="5">
        <v>23.520399999999999</v>
      </c>
      <c r="P150" s="5">
        <v>2280948.2122880002</v>
      </c>
      <c r="Q150" s="5">
        <v>48341.838799999998</v>
      </c>
      <c r="R150" s="5">
        <v>28185.750079999998</v>
      </c>
      <c r="S150" s="5">
        <v>35.051999999999992</v>
      </c>
      <c r="T150" s="5">
        <f t="shared" si="16"/>
        <v>1</v>
      </c>
      <c r="U150" s="5">
        <f t="shared" si="17"/>
        <v>1</v>
      </c>
      <c r="V150" s="5">
        <f t="shared" si="18"/>
        <v>1</v>
      </c>
      <c r="W150" s="5">
        <v>45.973999999999997</v>
      </c>
      <c r="X150" s="5">
        <v>0.84499999999999997</v>
      </c>
    </row>
    <row r="151" spans="1:24" x14ac:dyDescent="0.25">
      <c r="A151" s="5" t="s">
        <v>475</v>
      </c>
      <c r="B151" s="5">
        <v>14.584006612000001</v>
      </c>
      <c r="C151" s="5">
        <v>1858.0607999999997</v>
      </c>
      <c r="D151" s="6">
        <v>76.199999999999989</v>
      </c>
      <c r="E151" s="6">
        <v>76.199999999999989</v>
      </c>
      <c r="F151" s="5">
        <v>6.35</v>
      </c>
      <c r="G151" s="5">
        <f t="shared" si="13"/>
        <v>1</v>
      </c>
      <c r="H151" s="6" t="str">
        <f t="shared" si="14"/>
        <v>BB</v>
      </c>
      <c r="I151" s="5">
        <v>21.234399999999997</v>
      </c>
      <c r="J151" s="5">
        <f t="shared" si="15"/>
        <v>0</v>
      </c>
      <c r="K151" s="5">
        <v>0.24</v>
      </c>
      <c r="L151" s="5">
        <v>1023929.3069759998</v>
      </c>
      <c r="M151" s="5">
        <v>2.04</v>
      </c>
      <c r="N151" s="5">
        <v>1.1399999999999999</v>
      </c>
      <c r="O151" s="5">
        <v>23.520399999999999</v>
      </c>
      <c r="P151" s="5">
        <v>2767938.9802399999</v>
      </c>
      <c r="Q151" s="5">
        <v>57190.853360000001</v>
      </c>
      <c r="R151" s="5">
        <v>32282.516079999998</v>
      </c>
      <c r="S151" s="5">
        <v>38.607999999999997</v>
      </c>
      <c r="T151" s="5">
        <f t="shared" si="16"/>
        <v>1</v>
      </c>
      <c r="U151" s="5">
        <f t="shared" si="17"/>
        <v>1</v>
      </c>
      <c r="V151" s="5">
        <f t="shared" si="18"/>
        <v>1</v>
      </c>
      <c r="W151" s="5">
        <v>48.767999999999994</v>
      </c>
      <c r="X151" s="5">
        <v>0.86299999999999999</v>
      </c>
    </row>
    <row r="152" spans="1:24" x14ac:dyDescent="0.25">
      <c r="A152" s="5" t="s">
        <v>476</v>
      </c>
      <c r="B152" s="5">
        <v>11.0421764348</v>
      </c>
      <c r="C152" s="5">
        <v>1406.4488000000001</v>
      </c>
      <c r="D152" s="6">
        <v>76.199999999999989</v>
      </c>
      <c r="E152" s="6">
        <v>76.199999999999989</v>
      </c>
      <c r="F152" s="5">
        <v>4.7751999999999999</v>
      </c>
      <c r="G152" s="5">
        <f t="shared" si="13"/>
        <v>1</v>
      </c>
      <c r="H152" s="6" t="str">
        <f t="shared" si="14"/>
        <v>BB</v>
      </c>
      <c r="I152" s="5">
        <v>20.6248</v>
      </c>
      <c r="J152" s="5">
        <f t="shared" si="15"/>
        <v>0</v>
      </c>
      <c r="K152" s="5">
        <v>0.182</v>
      </c>
      <c r="L152" s="5">
        <v>790839.70863999985</v>
      </c>
      <c r="M152" s="5">
        <v>1.55</v>
      </c>
      <c r="N152" s="5">
        <v>0.86599999999999999</v>
      </c>
      <c r="O152" s="5">
        <v>23.6982</v>
      </c>
      <c r="P152" s="5">
        <v>1394375.2757599999</v>
      </c>
      <c r="Q152" s="5">
        <v>29005.103279999999</v>
      </c>
      <c r="R152" s="5">
        <v>18353.51168</v>
      </c>
      <c r="S152" s="5">
        <v>31.495999999999999</v>
      </c>
      <c r="T152" s="5">
        <f t="shared" si="16"/>
        <v>1</v>
      </c>
      <c r="U152" s="5">
        <f t="shared" si="17"/>
        <v>1</v>
      </c>
      <c r="V152" s="5">
        <f t="shared" si="18"/>
        <v>1</v>
      </c>
      <c r="W152" s="5">
        <v>43.433999999999997</v>
      </c>
      <c r="X152" s="5">
        <v>0.82299999999999995</v>
      </c>
    </row>
    <row r="153" spans="1:24" x14ac:dyDescent="0.25">
      <c r="A153" s="5" t="s">
        <v>477</v>
      </c>
      <c r="B153" s="5">
        <v>11.0421764348</v>
      </c>
      <c r="C153" s="5">
        <v>1406.4488000000001</v>
      </c>
      <c r="D153" s="6">
        <v>76.199999999999989</v>
      </c>
      <c r="E153" s="6">
        <v>76.199999999999989</v>
      </c>
      <c r="F153" s="5">
        <v>4.7751999999999999</v>
      </c>
      <c r="G153" s="5">
        <f t="shared" si="13"/>
        <v>1</v>
      </c>
      <c r="H153" s="6" t="str">
        <f t="shared" si="14"/>
        <v>BB</v>
      </c>
      <c r="I153" s="5">
        <v>20.6248</v>
      </c>
      <c r="J153" s="5">
        <f t="shared" si="15"/>
        <v>0</v>
      </c>
      <c r="K153" s="5">
        <v>0.182</v>
      </c>
      <c r="L153" s="5">
        <v>790839.70863999985</v>
      </c>
      <c r="M153" s="5">
        <v>1.55</v>
      </c>
      <c r="N153" s="5">
        <v>0.86599999999999999</v>
      </c>
      <c r="O153" s="5">
        <v>23.6982</v>
      </c>
      <c r="P153" s="5">
        <v>1702386.5307039998</v>
      </c>
      <c r="Q153" s="5">
        <v>35723.79952</v>
      </c>
      <c r="R153" s="5">
        <v>20975.441919999997</v>
      </c>
      <c r="S153" s="5">
        <v>34.798000000000002</v>
      </c>
      <c r="T153" s="5">
        <f t="shared" si="16"/>
        <v>1</v>
      </c>
      <c r="U153" s="5">
        <f t="shared" si="17"/>
        <v>1</v>
      </c>
      <c r="V153" s="5">
        <f t="shared" si="18"/>
        <v>1</v>
      </c>
      <c r="W153" s="5">
        <v>45.72</v>
      </c>
      <c r="X153" s="5">
        <v>0.84199999999999997</v>
      </c>
    </row>
    <row r="154" spans="1:24" x14ac:dyDescent="0.25">
      <c r="A154" s="5" t="s">
        <v>478</v>
      </c>
      <c r="B154" s="5">
        <v>11.0421764348</v>
      </c>
      <c r="C154" s="5">
        <v>1406.4488000000001</v>
      </c>
      <c r="D154" s="6">
        <v>76.199999999999989</v>
      </c>
      <c r="E154" s="6">
        <v>76.199999999999989</v>
      </c>
      <c r="F154" s="5">
        <v>4.7751999999999999</v>
      </c>
      <c r="G154" s="5">
        <f t="shared" si="13"/>
        <v>1</v>
      </c>
      <c r="H154" s="6" t="str">
        <f t="shared" si="14"/>
        <v>BB</v>
      </c>
      <c r="I154" s="5">
        <v>20.6248</v>
      </c>
      <c r="J154" s="5">
        <f t="shared" si="15"/>
        <v>0</v>
      </c>
      <c r="K154" s="5">
        <v>0.182</v>
      </c>
      <c r="L154" s="5">
        <v>790839.70863999985</v>
      </c>
      <c r="M154" s="5">
        <v>1.55</v>
      </c>
      <c r="N154" s="5">
        <v>0.86599999999999999</v>
      </c>
      <c r="O154" s="5">
        <v>23.6982</v>
      </c>
      <c r="P154" s="5">
        <v>2068670.1852319997</v>
      </c>
      <c r="Q154" s="5">
        <v>42442.495759999991</v>
      </c>
      <c r="R154" s="5">
        <v>24088.984079999998</v>
      </c>
      <c r="S154" s="5">
        <v>38.353999999999999</v>
      </c>
      <c r="T154" s="5">
        <f t="shared" si="16"/>
        <v>1</v>
      </c>
      <c r="U154" s="5">
        <f t="shared" si="17"/>
        <v>1</v>
      </c>
      <c r="V154" s="5">
        <f t="shared" si="18"/>
        <v>1</v>
      </c>
      <c r="W154" s="5">
        <v>48.513999999999996</v>
      </c>
      <c r="X154" s="5">
        <v>0.85899999999999999</v>
      </c>
    </row>
    <row r="155" spans="1:24" x14ac:dyDescent="0.25">
      <c r="A155" s="5" t="s">
        <v>479</v>
      </c>
      <c r="B155" s="5">
        <v>22.917724675999999</v>
      </c>
      <c r="C155" s="5">
        <v>2916.1231999999995</v>
      </c>
      <c r="D155" s="6">
        <v>63.5</v>
      </c>
      <c r="E155" s="6">
        <v>63.5</v>
      </c>
      <c r="F155" s="5">
        <v>12.7</v>
      </c>
      <c r="G155" s="5">
        <f t="shared" si="13"/>
        <v>1</v>
      </c>
      <c r="H155" s="6" t="str">
        <f t="shared" si="14"/>
        <v>BB</v>
      </c>
      <c r="I155" s="5">
        <v>20.3962</v>
      </c>
      <c r="J155" s="5">
        <f t="shared" si="15"/>
        <v>0</v>
      </c>
      <c r="K155" s="5">
        <v>0.45200000000000001</v>
      </c>
      <c r="L155" s="5">
        <v>1015604.6784639999</v>
      </c>
      <c r="M155" s="5">
        <v>2.58</v>
      </c>
      <c r="N155" s="5">
        <v>1.43</v>
      </c>
      <c r="O155" s="5">
        <v>18.668999999999997</v>
      </c>
      <c r="P155" s="5">
        <v>2235162.7554719998</v>
      </c>
      <c r="Q155" s="5">
        <v>59485.042319999993</v>
      </c>
      <c r="R155" s="5">
        <v>35232.187599999997</v>
      </c>
      <c r="S155" s="5">
        <v>27.686</v>
      </c>
      <c r="T155" s="5">
        <f t="shared" si="16"/>
        <v>1</v>
      </c>
      <c r="U155" s="5">
        <f t="shared" si="17"/>
        <v>1</v>
      </c>
      <c r="V155" s="5">
        <f t="shared" si="18"/>
        <v>1</v>
      </c>
      <c r="W155" s="5">
        <v>36.321999999999996</v>
      </c>
      <c r="X155" s="5">
        <v>0.85</v>
      </c>
    </row>
    <row r="156" spans="1:24" x14ac:dyDescent="0.25">
      <c r="A156" s="5" t="s">
        <v>480</v>
      </c>
      <c r="B156" s="5">
        <v>22.917724675999999</v>
      </c>
      <c r="C156" s="5">
        <v>2916.1231999999995</v>
      </c>
      <c r="D156" s="6">
        <v>63.5</v>
      </c>
      <c r="E156" s="6">
        <v>63.5</v>
      </c>
      <c r="F156" s="5">
        <v>12.7</v>
      </c>
      <c r="G156" s="5">
        <f t="shared" si="13"/>
        <v>1</v>
      </c>
      <c r="H156" s="6" t="str">
        <f t="shared" si="14"/>
        <v>BB</v>
      </c>
      <c r="I156" s="5">
        <v>20.3962</v>
      </c>
      <c r="J156" s="5">
        <f t="shared" si="15"/>
        <v>0</v>
      </c>
      <c r="K156" s="5">
        <v>0.45200000000000001</v>
      </c>
      <c r="L156" s="5">
        <v>1015604.6784639999</v>
      </c>
      <c r="M156" s="5">
        <v>2.58</v>
      </c>
      <c r="N156" s="5">
        <v>1.43</v>
      </c>
      <c r="O156" s="5">
        <v>18.668999999999997</v>
      </c>
      <c r="P156" s="5">
        <v>2847022.9511039997</v>
      </c>
      <c r="Q156" s="5">
        <v>73414.046719999998</v>
      </c>
      <c r="R156" s="5">
        <v>41787.013199999994</v>
      </c>
      <c r="S156" s="5">
        <v>31.241999999999997</v>
      </c>
      <c r="T156" s="5">
        <f t="shared" si="16"/>
        <v>1</v>
      </c>
      <c r="U156" s="5">
        <f t="shared" si="17"/>
        <v>1</v>
      </c>
      <c r="V156" s="5">
        <f t="shared" si="18"/>
        <v>1</v>
      </c>
      <c r="W156" s="5">
        <v>39.116</v>
      </c>
      <c r="X156" s="5">
        <v>0.871</v>
      </c>
    </row>
    <row r="157" spans="1:24" x14ac:dyDescent="0.25">
      <c r="A157" s="5" t="s">
        <v>481</v>
      </c>
      <c r="B157" s="5">
        <v>22.917724675999999</v>
      </c>
      <c r="C157" s="5">
        <v>2916.1231999999995</v>
      </c>
      <c r="D157" s="6">
        <v>63.5</v>
      </c>
      <c r="E157" s="6">
        <v>63.5</v>
      </c>
      <c r="F157" s="5">
        <v>12.7</v>
      </c>
      <c r="G157" s="5">
        <f t="shared" si="13"/>
        <v>1</v>
      </c>
      <c r="H157" s="6" t="str">
        <f t="shared" si="14"/>
        <v>BB</v>
      </c>
      <c r="I157" s="5">
        <v>20.3962</v>
      </c>
      <c r="J157" s="5">
        <f t="shared" si="15"/>
        <v>0</v>
      </c>
      <c r="K157" s="5">
        <v>0.45200000000000001</v>
      </c>
      <c r="L157" s="5">
        <v>1015604.6784639999</v>
      </c>
      <c r="M157" s="5">
        <v>2.58</v>
      </c>
      <c r="N157" s="5">
        <v>1.43</v>
      </c>
      <c r="O157" s="5">
        <v>18.668999999999997</v>
      </c>
      <c r="P157" s="5">
        <v>3633700.3454879997</v>
      </c>
      <c r="Q157" s="5">
        <v>87179.180479999995</v>
      </c>
      <c r="R157" s="5">
        <v>49816.674559999999</v>
      </c>
      <c r="S157" s="5">
        <v>35.305999999999997</v>
      </c>
      <c r="T157" s="5">
        <f t="shared" si="16"/>
        <v>1</v>
      </c>
      <c r="U157" s="5">
        <f t="shared" si="17"/>
        <v>1</v>
      </c>
      <c r="V157" s="5">
        <f t="shared" si="18"/>
        <v>1</v>
      </c>
      <c r="W157" s="5">
        <v>42.417999999999999</v>
      </c>
      <c r="X157" s="5">
        <v>0.89</v>
      </c>
    </row>
    <row r="158" spans="1:24" x14ac:dyDescent="0.25">
      <c r="A158" s="5" t="s">
        <v>482</v>
      </c>
      <c r="B158" s="5">
        <v>17.560334491999999</v>
      </c>
      <c r="C158" s="5">
        <v>2232.2536</v>
      </c>
      <c r="D158" s="6">
        <v>63.5</v>
      </c>
      <c r="E158" s="6">
        <v>63.5</v>
      </c>
      <c r="F158" s="5">
        <v>9.5249999999999986</v>
      </c>
      <c r="G158" s="5">
        <f t="shared" si="13"/>
        <v>1</v>
      </c>
      <c r="H158" s="6" t="str">
        <f t="shared" si="14"/>
        <v>BB</v>
      </c>
      <c r="I158" s="5">
        <v>19.2532</v>
      </c>
      <c r="J158" s="5">
        <f t="shared" si="15"/>
        <v>0</v>
      </c>
      <c r="K158" s="5">
        <v>0.34599999999999997</v>
      </c>
      <c r="L158" s="5">
        <v>807488.9656639999</v>
      </c>
      <c r="M158" s="5">
        <v>2.02</v>
      </c>
      <c r="N158" s="5">
        <v>1.1200000000000001</v>
      </c>
      <c r="O158" s="5">
        <v>19.0246</v>
      </c>
      <c r="P158" s="5">
        <v>1648276.4453759999</v>
      </c>
      <c r="Q158" s="5">
        <v>42934.107680000001</v>
      </c>
      <c r="R158" s="5">
        <v>25891.561119999998</v>
      </c>
      <c r="S158" s="5">
        <v>27.178000000000001</v>
      </c>
      <c r="T158" s="5">
        <f t="shared" si="16"/>
        <v>1</v>
      </c>
      <c r="U158" s="5">
        <f t="shared" si="17"/>
        <v>1</v>
      </c>
      <c r="V158" s="5">
        <f t="shared" si="18"/>
        <v>1</v>
      </c>
      <c r="W158" s="5">
        <v>36.067999999999998</v>
      </c>
      <c r="X158" s="5">
        <v>0.83899999999999997</v>
      </c>
    </row>
    <row r="159" spans="1:24" x14ac:dyDescent="0.25">
      <c r="A159" s="5" t="s">
        <v>483</v>
      </c>
      <c r="B159" s="5">
        <v>17.560334491999999</v>
      </c>
      <c r="C159" s="5">
        <v>2232.2536</v>
      </c>
      <c r="D159" s="6">
        <v>63.5</v>
      </c>
      <c r="E159" s="6">
        <v>63.5</v>
      </c>
      <c r="F159" s="5">
        <v>9.5249999999999986</v>
      </c>
      <c r="G159" s="5">
        <f t="shared" si="13"/>
        <v>1</v>
      </c>
      <c r="H159" s="6" t="str">
        <f t="shared" si="14"/>
        <v>BB</v>
      </c>
      <c r="I159" s="5">
        <v>19.2532</v>
      </c>
      <c r="J159" s="5">
        <f t="shared" si="15"/>
        <v>0</v>
      </c>
      <c r="K159" s="5">
        <v>0.34599999999999997</v>
      </c>
      <c r="L159" s="5">
        <v>807488.9656639999</v>
      </c>
      <c r="M159" s="5">
        <v>2.02</v>
      </c>
      <c r="N159" s="5">
        <v>1.1200000000000001</v>
      </c>
      <c r="O159" s="5">
        <v>19.0246</v>
      </c>
      <c r="P159" s="5">
        <v>2110293.327792</v>
      </c>
      <c r="Q159" s="5">
        <v>53585.699279999993</v>
      </c>
      <c r="R159" s="5">
        <v>30971.550959999997</v>
      </c>
      <c r="S159" s="5">
        <v>30.733999999999998</v>
      </c>
      <c r="T159" s="5">
        <f t="shared" si="16"/>
        <v>1</v>
      </c>
      <c r="U159" s="5">
        <f t="shared" si="17"/>
        <v>1</v>
      </c>
      <c r="V159" s="5">
        <f t="shared" si="18"/>
        <v>1</v>
      </c>
      <c r="W159" s="5">
        <v>38.862000000000002</v>
      </c>
      <c r="X159" s="5">
        <v>0.86099999999999999</v>
      </c>
    </row>
    <row r="160" spans="1:24" x14ac:dyDescent="0.25">
      <c r="A160" s="5" t="s">
        <v>484</v>
      </c>
      <c r="B160" s="5">
        <v>17.560334491999999</v>
      </c>
      <c r="C160" s="5">
        <v>2232.2536</v>
      </c>
      <c r="D160" s="6">
        <v>63.5</v>
      </c>
      <c r="E160" s="6">
        <v>63.5</v>
      </c>
      <c r="F160" s="5">
        <v>9.5249999999999986</v>
      </c>
      <c r="G160" s="5">
        <f t="shared" si="13"/>
        <v>1</v>
      </c>
      <c r="H160" s="6" t="str">
        <f t="shared" si="14"/>
        <v>BB</v>
      </c>
      <c r="I160" s="5">
        <v>19.2532</v>
      </c>
      <c r="J160" s="5">
        <f t="shared" si="15"/>
        <v>0</v>
      </c>
      <c r="K160" s="5">
        <v>0.34599999999999997</v>
      </c>
      <c r="L160" s="5">
        <v>807488.9656639999</v>
      </c>
      <c r="M160" s="5">
        <v>2.02</v>
      </c>
      <c r="N160" s="5">
        <v>1.1200000000000001</v>
      </c>
      <c r="O160" s="5">
        <v>19.0246</v>
      </c>
      <c r="P160" s="5">
        <v>2663881.12384</v>
      </c>
      <c r="Q160" s="5">
        <v>64237.290879999993</v>
      </c>
      <c r="R160" s="5">
        <v>36543.152719999998</v>
      </c>
      <c r="S160" s="5">
        <v>34.544000000000004</v>
      </c>
      <c r="T160" s="5">
        <f t="shared" si="16"/>
        <v>1</v>
      </c>
      <c r="U160" s="5">
        <f t="shared" si="17"/>
        <v>1</v>
      </c>
      <c r="V160" s="5">
        <f t="shared" si="18"/>
        <v>1</v>
      </c>
      <c r="W160" s="5">
        <v>41.91</v>
      </c>
      <c r="X160" s="5">
        <v>0.88100000000000001</v>
      </c>
    </row>
    <row r="161" spans="1:24" x14ac:dyDescent="0.25">
      <c r="A161" s="5" t="s">
        <v>485</v>
      </c>
      <c r="B161" s="5">
        <v>14.881639399999999</v>
      </c>
      <c r="C161" s="5">
        <v>1883.8671999999999</v>
      </c>
      <c r="D161" s="6">
        <v>63.5</v>
      </c>
      <c r="E161" s="6">
        <v>63.5</v>
      </c>
      <c r="F161" s="5">
        <v>7.9501999999999997</v>
      </c>
      <c r="G161" s="5">
        <f t="shared" si="13"/>
        <v>1</v>
      </c>
      <c r="H161" s="6" t="str">
        <f t="shared" si="14"/>
        <v>BB</v>
      </c>
      <c r="I161" s="5">
        <v>18.668999999999997</v>
      </c>
      <c r="J161" s="5">
        <f t="shared" si="15"/>
        <v>0</v>
      </c>
      <c r="K161" s="5">
        <v>0.29199999999999998</v>
      </c>
      <c r="L161" s="5">
        <v>695106.48075199989</v>
      </c>
      <c r="M161" s="5">
        <v>1.71</v>
      </c>
      <c r="N161" s="5">
        <v>0.94799999999999995</v>
      </c>
      <c r="O161" s="5">
        <v>19.202400000000001</v>
      </c>
      <c r="P161" s="5">
        <v>1340265.190432</v>
      </c>
      <c r="Q161" s="5">
        <v>35232.187599999997</v>
      </c>
      <c r="R161" s="5">
        <v>21139.312559999998</v>
      </c>
      <c r="S161" s="5">
        <v>26.669999999999998</v>
      </c>
      <c r="T161" s="5">
        <f t="shared" si="16"/>
        <v>1</v>
      </c>
      <c r="U161" s="5">
        <f t="shared" si="17"/>
        <v>1</v>
      </c>
      <c r="V161" s="5">
        <f t="shared" si="18"/>
        <v>1</v>
      </c>
      <c r="W161" s="5">
        <v>36.067999999999998</v>
      </c>
      <c r="X161" s="5">
        <v>0.83399999999999996</v>
      </c>
    </row>
    <row r="162" spans="1:24" x14ac:dyDescent="0.25">
      <c r="A162" s="5" t="s">
        <v>486</v>
      </c>
      <c r="B162" s="5">
        <v>14.881639399999999</v>
      </c>
      <c r="C162" s="5">
        <v>1883.8671999999999</v>
      </c>
      <c r="D162" s="6">
        <v>63.5</v>
      </c>
      <c r="E162" s="6">
        <v>63.5</v>
      </c>
      <c r="F162" s="5">
        <v>7.9501999999999997</v>
      </c>
      <c r="G162" s="5">
        <f t="shared" si="13"/>
        <v>1</v>
      </c>
      <c r="H162" s="6" t="str">
        <f t="shared" si="14"/>
        <v>BB</v>
      </c>
      <c r="I162" s="5">
        <v>18.668999999999997</v>
      </c>
      <c r="J162" s="5">
        <f t="shared" si="15"/>
        <v>0</v>
      </c>
      <c r="K162" s="5">
        <v>0.29199999999999998</v>
      </c>
      <c r="L162" s="5">
        <v>695106.48075199989</v>
      </c>
      <c r="M162" s="5">
        <v>1.71</v>
      </c>
      <c r="N162" s="5">
        <v>0.94799999999999995</v>
      </c>
      <c r="O162" s="5">
        <v>19.202400000000001</v>
      </c>
      <c r="P162" s="5">
        <v>1723198.1019839996</v>
      </c>
      <c r="Q162" s="5">
        <v>44081.202159999993</v>
      </c>
      <c r="R162" s="5">
        <v>25236.078559999998</v>
      </c>
      <c r="S162" s="5">
        <v>30.225999999999996</v>
      </c>
      <c r="T162" s="5">
        <f t="shared" si="16"/>
        <v>1</v>
      </c>
      <c r="U162" s="5">
        <f t="shared" si="17"/>
        <v>1</v>
      </c>
      <c r="V162" s="5">
        <f t="shared" si="18"/>
        <v>1</v>
      </c>
      <c r="W162" s="5">
        <v>38.862000000000002</v>
      </c>
      <c r="X162" s="5">
        <v>0.85599999999999998</v>
      </c>
    </row>
    <row r="163" spans="1:24" x14ac:dyDescent="0.25">
      <c r="A163" s="5" t="s">
        <v>487</v>
      </c>
      <c r="B163" s="5">
        <v>14.881639399999999</v>
      </c>
      <c r="C163" s="5">
        <v>1883.8671999999999</v>
      </c>
      <c r="D163" s="6">
        <v>63.5</v>
      </c>
      <c r="E163" s="6">
        <v>63.5</v>
      </c>
      <c r="F163" s="5">
        <v>7.9501999999999997</v>
      </c>
      <c r="G163" s="5">
        <f t="shared" si="13"/>
        <v>1</v>
      </c>
      <c r="H163" s="6" t="str">
        <f t="shared" si="14"/>
        <v>BB</v>
      </c>
      <c r="I163" s="5">
        <v>18.668999999999997</v>
      </c>
      <c r="J163" s="5">
        <f t="shared" si="15"/>
        <v>0</v>
      </c>
      <c r="K163" s="5">
        <v>0.29199999999999998</v>
      </c>
      <c r="L163" s="5">
        <v>695106.48075199989</v>
      </c>
      <c r="M163" s="5">
        <v>1.71</v>
      </c>
      <c r="N163" s="5">
        <v>0.94799999999999995</v>
      </c>
      <c r="O163" s="5">
        <v>19.202400000000001</v>
      </c>
      <c r="P163" s="5">
        <v>2181052.6701440001</v>
      </c>
      <c r="Q163" s="5">
        <v>53094.087359999998</v>
      </c>
      <c r="R163" s="5">
        <v>29824.456479999997</v>
      </c>
      <c r="S163" s="5">
        <v>34.036000000000001</v>
      </c>
      <c r="T163" s="5">
        <f t="shared" si="16"/>
        <v>1</v>
      </c>
      <c r="U163" s="5">
        <f t="shared" si="17"/>
        <v>1</v>
      </c>
      <c r="V163" s="5">
        <f t="shared" si="18"/>
        <v>1</v>
      </c>
      <c r="W163" s="5">
        <v>41.91</v>
      </c>
      <c r="X163" s="5">
        <v>0.876</v>
      </c>
    </row>
    <row r="164" spans="1:24" x14ac:dyDescent="0.25">
      <c r="A164" s="5" t="s">
        <v>488</v>
      </c>
      <c r="B164" s="5">
        <v>12.202944307999999</v>
      </c>
      <c r="C164" s="5">
        <v>1535.4807999999998</v>
      </c>
      <c r="D164" s="6">
        <v>63.5</v>
      </c>
      <c r="E164" s="6">
        <v>63.5</v>
      </c>
      <c r="F164" s="5">
        <v>6.35</v>
      </c>
      <c r="G164" s="5">
        <f t="shared" si="13"/>
        <v>1</v>
      </c>
      <c r="H164" s="6" t="str">
        <f t="shared" si="14"/>
        <v>BB</v>
      </c>
      <c r="I164" s="5">
        <v>18.059399999999997</v>
      </c>
      <c r="J164" s="5">
        <f t="shared" si="15"/>
        <v>0</v>
      </c>
      <c r="K164" s="5">
        <v>0.23799999999999999</v>
      </c>
      <c r="L164" s="5">
        <v>574399.36732799991</v>
      </c>
      <c r="M164" s="5">
        <v>1.39</v>
      </c>
      <c r="N164" s="5">
        <v>0.77400000000000002</v>
      </c>
      <c r="O164" s="5">
        <v>19.4056</v>
      </c>
      <c r="P164" s="5">
        <v>1069714.7637919998</v>
      </c>
      <c r="Q164" s="5">
        <v>27694.138159999995</v>
      </c>
      <c r="R164" s="5">
        <v>16878.675919999998</v>
      </c>
      <c r="S164" s="5">
        <v>26.416</v>
      </c>
      <c r="T164" s="5">
        <f t="shared" si="16"/>
        <v>1</v>
      </c>
      <c r="U164" s="5">
        <f t="shared" si="17"/>
        <v>1</v>
      </c>
      <c r="V164" s="5">
        <f t="shared" si="18"/>
        <v>1</v>
      </c>
      <c r="W164" s="5">
        <v>36.067999999999998</v>
      </c>
      <c r="X164" s="5">
        <v>0.82899999999999996</v>
      </c>
    </row>
    <row r="165" spans="1:24" x14ac:dyDescent="0.25">
      <c r="A165" s="5" t="s">
        <v>489</v>
      </c>
      <c r="B165" s="5">
        <v>12.202944307999999</v>
      </c>
      <c r="C165" s="5">
        <v>1535.4807999999998</v>
      </c>
      <c r="D165" s="6">
        <v>63.5</v>
      </c>
      <c r="E165" s="6">
        <v>63.5</v>
      </c>
      <c r="F165" s="5">
        <v>6.35</v>
      </c>
      <c r="G165" s="5">
        <f t="shared" si="13"/>
        <v>1</v>
      </c>
      <c r="H165" s="6" t="str">
        <f t="shared" si="14"/>
        <v>BB</v>
      </c>
      <c r="I165" s="5">
        <v>18.059399999999997</v>
      </c>
      <c r="J165" s="5">
        <f t="shared" si="15"/>
        <v>0</v>
      </c>
      <c r="K165" s="5">
        <v>0.23799999999999999</v>
      </c>
      <c r="L165" s="5">
        <v>574399.36732799991</v>
      </c>
      <c r="M165" s="5">
        <v>1.39</v>
      </c>
      <c r="N165" s="5">
        <v>0.77400000000000002</v>
      </c>
      <c r="O165" s="5">
        <v>19.4056</v>
      </c>
      <c r="P165" s="5">
        <v>1377726.0187359999</v>
      </c>
      <c r="Q165" s="5">
        <v>35068.316959999996</v>
      </c>
      <c r="R165" s="5">
        <v>20156.088719999996</v>
      </c>
      <c r="S165" s="5">
        <v>29.971999999999998</v>
      </c>
      <c r="T165" s="5">
        <f t="shared" si="16"/>
        <v>1</v>
      </c>
      <c r="U165" s="5">
        <f t="shared" si="17"/>
        <v>1</v>
      </c>
      <c r="V165" s="5">
        <f t="shared" si="18"/>
        <v>1</v>
      </c>
      <c r="W165" s="5">
        <v>38.607999999999997</v>
      </c>
      <c r="X165" s="5">
        <v>0.85199999999999998</v>
      </c>
    </row>
    <row r="166" spans="1:24" x14ac:dyDescent="0.25">
      <c r="A166" s="5" t="s">
        <v>490</v>
      </c>
      <c r="B166" s="5">
        <v>12.202944307999999</v>
      </c>
      <c r="C166" s="5">
        <v>1535.4807999999998</v>
      </c>
      <c r="D166" s="6">
        <v>63.5</v>
      </c>
      <c r="E166" s="6">
        <v>63.5</v>
      </c>
      <c r="F166" s="5">
        <v>6.35</v>
      </c>
      <c r="G166" s="5">
        <f t="shared" si="13"/>
        <v>1</v>
      </c>
      <c r="H166" s="6" t="str">
        <f t="shared" si="14"/>
        <v>BB</v>
      </c>
      <c r="I166" s="5">
        <v>18.059399999999997</v>
      </c>
      <c r="J166" s="5">
        <f t="shared" si="15"/>
        <v>0</v>
      </c>
      <c r="K166" s="5">
        <v>0.23799999999999999</v>
      </c>
      <c r="L166" s="5">
        <v>574399.36732799991</v>
      </c>
      <c r="M166" s="5">
        <v>1.39</v>
      </c>
      <c r="N166" s="5">
        <v>0.77400000000000002</v>
      </c>
      <c r="O166" s="5">
        <v>19.4056</v>
      </c>
      <c r="P166" s="5">
        <v>1752334.3017759998</v>
      </c>
      <c r="Q166" s="5">
        <v>42278.625119999997</v>
      </c>
      <c r="R166" s="5">
        <v>23925.113439999997</v>
      </c>
      <c r="S166" s="5">
        <v>33.781999999999996</v>
      </c>
      <c r="T166" s="5">
        <f t="shared" si="16"/>
        <v>1</v>
      </c>
      <c r="U166" s="5">
        <f t="shared" si="17"/>
        <v>1</v>
      </c>
      <c r="V166" s="5">
        <f t="shared" si="18"/>
        <v>1</v>
      </c>
      <c r="W166" s="5">
        <v>41.655999999999992</v>
      </c>
      <c r="X166" s="5">
        <v>0.872</v>
      </c>
    </row>
    <row r="167" spans="1:24" x14ac:dyDescent="0.25">
      <c r="A167" s="5" t="s">
        <v>491</v>
      </c>
      <c r="B167" s="5">
        <v>9.137326591599999</v>
      </c>
      <c r="C167" s="5">
        <v>1161.288</v>
      </c>
      <c r="D167" s="6">
        <v>63.5</v>
      </c>
      <c r="E167" s="6">
        <v>63.5</v>
      </c>
      <c r="F167" s="5">
        <v>4.7751999999999999</v>
      </c>
      <c r="G167" s="5">
        <f t="shared" si="13"/>
        <v>1</v>
      </c>
      <c r="H167" s="6" t="str">
        <f t="shared" si="14"/>
        <v>BB</v>
      </c>
      <c r="I167" s="5">
        <v>17.4498</v>
      </c>
      <c r="J167" s="5">
        <f t="shared" si="15"/>
        <v>0</v>
      </c>
      <c r="K167" s="5">
        <v>0.18</v>
      </c>
      <c r="L167" s="5">
        <v>445367.62539199996</v>
      </c>
      <c r="M167" s="5">
        <v>1.06</v>
      </c>
      <c r="N167" s="5">
        <v>0.59</v>
      </c>
      <c r="O167" s="5">
        <v>19.583400000000001</v>
      </c>
      <c r="P167" s="5">
        <v>795002.02289599983</v>
      </c>
      <c r="Q167" s="5">
        <v>20319.959359999997</v>
      </c>
      <c r="R167" s="5">
        <v>12519.716896</v>
      </c>
      <c r="S167" s="5">
        <v>26.161999999999999</v>
      </c>
      <c r="T167" s="5">
        <f t="shared" si="16"/>
        <v>1</v>
      </c>
      <c r="U167" s="5">
        <f t="shared" si="17"/>
        <v>1</v>
      </c>
      <c r="V167" s="5">
        <f t="shared" si="18"/>
        <v>1</v>
      </c>
      <c r="W167" s="5">
        <v>36.067999999999998</v>
      </c>
      <c r="X167" s="5">
        <v>0.82499999999999996</v>
      </c>
    </row>
    <row r="168" spans="1:24" x14ac:dyDescent="0.25">
      <c r="A168" s="5" t="s">
        <v>492</v>
      </c>
      <c r="B168" s="5">
        <v>9.137326591599999</v>
      </c>
      <c r="C168" s="5">
        <v>1161.288</v>
      </c>
      <c r="D168" s="6">
        <v>63.5</v>
      </c>
      <c r="E168" s="6">
        <v>63.5</v>
      </c>
      <c r="F168" s="5">
        <v>4.7751999999999999</v>
      </c>
      <c r="G168" s="5">
        <f t="shared" si="13"/>
        <v>1</v>
      </c>
      <c r="H168" s="6" t="str">
        <f t="shared" si="14"/>
        <v>BB</v>
      </c>
      <c r="I168" s="5">
        <v>17.4498</v>
      </c>
      <c r="J168" s="5">
        <f t="shared" si="15"/>
        <v>0</v>
      </c>
      <c r="K168" s="5">
        <v>0.18</v>
      </c>
      <c r="L168" s="5">
        <v>445367.62539199996</v>
      </c>
      <c r="M168" s="5">
        <v>1.06</v>
      </c>
      <c r="N168" s="5">
        <v>0.59</v>
      </c>
      <c r="O168" s="5">
        <v>19.583400000000001</v>
      </c>
      <c r="P168" s="5">
        <v>1023929.3069759998</v>
      </c>
      <c r="Q168" s="5">
        <v>25891.561119999998</v>
      </c>
      <c r="R168" s="5">
        <v>14994.163559999999</v>
      </c>
      <c r="S168" s="5">
        <v>29.717999999999996</v>
      </c>
      <c r="T168" s="5">
        <f t="shared" si="16"/>
        <v>1</v>
      </c>
      <c r="U168" s="5">
        <f t="shared" si="17"/>
        <v>1</v>
      </c>
      <c r="V168" s="5">
        <f t="shared" si="18"/>
        <v>1</v>
      </c>
      <c r="W168" s="5">
        <v>38.607999999999997</v>
      </c>
      <c r="X168" s="5">
        <v>0.84699999999999998</v>
      </c>
    </row>
    <row r="169" spans="1:24" x14ac:dyDescent="0.25">
      <c r="A169" s="5" t="s">
        <v>493</v>
      </c>
      <c r="B169" s="5">
        <v>9.137326591599999</v>
      </c>
      <c r="C169" s="5">
        <v>1161.288</v>
      </c>
      <c r="D169" s="6">
        <v>63.5</v>
      </c>
      <c r="E169" s="6">
        <v>63.5</v>
      </c>
      <c r="F169" s="5">
        <v>4.7751999999999999</v>
      </c>
      <c r="G169" s="5">
        <f t="shared" si="13"/>
        <v>1</v>
      </c>
      <c r="H169" s="6" t="str">
        <f t="shared" si="14"/>
        <v>BB</v>
      </c>
      <c r="I169" s="5">
        <v>17.4498</v>
      </c>
      <c r="J169" s="5">
        <f t="shared" si="15"/>
        <v>0</v>
      </c>
      <c r="K169" s="5">
        <v>0.18</v>
      </c>
      <c r="L169" s="5">
        <v>445367.62539199996</v>
      </c>
      <c r="M169" s="5">
        <v>1.06</v>
      </c>
      <c r="N169" s="5">
        <v>0.59</v>
      </c>
      <c r="O169" s="5">
        <v>19.583400000000001</v>
      </c>
      <c r="P169" s="5">
        <v>1286155.1051039998</v>
      </c>
      <c r="Q169" s="5">
        <v>31299.292239999995</v>
      </c>
      <c r="R169" s="5">
        <v>17534.158479999998</v>
      </c>
      <c r="S169" s="5">
        <v>33.274000000000001</v>
      </c>
      <c r="T169" s="5">
        <f t="shared" si="16"/>
        <v>1</v>
      </c>
      <c r="U169" s="5">
        <f t="shared" si="17"/>
        <v>1</v>
      </c>
      <c r="V169" s="5">
        <f t="shared" si="18"/>
        <v>1</v>
      </c>
      <c r="W169" s="5">
        <v>41.401999999999994</v>
      </c>
      <c r="X169" s="5">
        <v>0.86799999999999999</v>
      </c>
    </row>
    <row r="170" spans="1:24" x14ac:dyDescent="0.25">
      <c r="A170" s="5" t="s">
        <v>494</v>
      </c>
      <c r="B170" s="5">
        <v>13.988741036</v>
      </c>
      <c r="C170" s="5">
        <v>1767.7384</v>
      </c>
      <c r="D170" s="6">
        <v>50.8</v>
      </c>
      <c r="E170" s="6">
        <v>50.8</v>
      </c>
      <c r="F170" s="5">
        <v>9.5249999999999986</v>
      </c>
      <c r="G170" s="5">
        <f t="shared" si="13"/>
        <v>1</v>
      </c>
      <c r="H170" s="6" t="str">
        <f t="shared" si="14"/>
        <v>BB</v>
      </c>
      <c r="I170" s="5">
        <v>16.052799999999998</v>
      </c>
      <c r="J170" s="5">
        <f t="shared" si="15"/>
        <v>0</v>
      </c>
      <c r="K170" s="5">
        <v>0.34300000000000003</v>
      </c>
      <c r="L170" s="5">
        <v>396252.31717119995</v>
      </c>
      <c r="M170" s="5">
        <v>1.26</v>
      </c>
      <c r="N170" s="5">
        <v>0.69599999999999995</v>
      </c>
      <c r="O170" s="5">
        <v>15.011399999999998</v>
      </c>
      <c r="P170" s="5">
        <v>853274.42247999983</v>
      </c>
      <c r="Q170" s="5">
        <v>28349.620719999995</v>
      </c>
      <c r="R170" s="5">
        <v>16714.80528</v>
      </c>
      <c r="S170" s="5">
        <v>21.971</v>
      </c>
      <c r="T170" s="5">
        <f t="shared" si="16"/>
        <v>1</v>
      </c>
      <c r="U170" s="5">
        <f t="shared" si="17"/>
        <v>1</v>
      </c>
      <c r="V170" s="5">
        <f t="shared" si="18"/>
        <v>1</v>
      </c>
      <c r="W170" s="5">
        <v>28.955999999999996</v>
      </c>
      <c r="X170" s="5">
        <v>0.84699999999999998</v>
      </c>
    </row>
    <row r="171" spans="1:24" x14ac:dyDescent="0.25">
      <c r="A171" s="5" t="s">
        <v>495</v>
      </c>
      <c r="B171" s="5">
        <v>15.010999999999999</v>
      </c>
      <c r="C171" s="5">
        <v>1767.7384</v>
      </c>
      <c r="D171" s="6">
        <v>50.8</v>
      </c>
      <c r="E171" s="6">
        <v>50.8</v>
      </c>
      <c r="F171" s="5">
        <v>9.5249999999999986</v>
      </c>
      <c r="G171" s="5">
        <v>9.5</v>
      </c>
      <c r="H171" s="6" t="str">
        <f t="shared" si="14"/>
        <v>BB</v>
      </c>
      <c r="I171" s="5">
        <v>16.052799999999998</v>
      </c>
      <c r="J171" s="5">
        <f t="shared" si="15"/>
        <v>0</v>
      </c>
      <c r="K171" s="5">
        <v>0.34300000000000003</v>
      </c>
      <c r="L171" s="5">
        <v>396252.31717119995</v>
      </c>
      <c r="M171" s="5">
        <v>1.26</v>
      </c>
      <c r="N171" s="5">
        <v>0.69599999999999995</v>
      </c>
      <c r="O171" s="5">
        <v>15.011399999999998</v>
      </c>
      <c r="P171" s="5">
        <v>1165447.9916799997</v>
      </c>
      <c r="Q171" s="5">
        <v>36870.894</v>
      </c>
      <c r="R171" s="5">
        <v>20975.441919999997</v>
      </c>
      <c r="S171" s="5">
        <v>25.654</v>
      </c>
      <c r="T171" s="5">
        <f>0.0658*25.4^4</f>
        <v>27388.027804479996</v>
      </c>
      <c r="U171" s="5">
        <f>0.0174*25.4^6</f>
        <v>4672524.0777976699</v>
      </c>
      <c r="V171" s="5">
        <f>0.386*25.4</f>
        <v>9.8043999999999993</v>
      </c>
      <c r="W171" s="5">
        <v>31.75</v>
      </c>
      <c r="X171" s="5">
        <v>0.874</v>
      </c>
    </row>
    <row r="172" spans="1:24" x14ac:dyDescent="0.25">
      <c r="A172" s="5" t="s">
        <v>496</v>
      </c>
      <c r="B172" s="5">
        <v>13.988741036</v>
      </c>
      <c r="C172" s="5">
        <v>1767.7384</v>
      </c>
      <c r="D172" s="6">
        <v>50.8</v>
      </c>
      <c r="E172" s="6">
        <v>50.8</v>
      </c>
      <c r="F172" s="5">
        <v>9.5249999999999986</v>
      </c>
      <c r="G172" s="5">
        <v>1</v>
      </c>
      <c r="H172" s="6" t="str">
        <f t="shared" si="14"/>
        <v>BB</v>
      </c>
      <c r="I172" s="5">
        <v>16.052799999999998</v>
      </c>
      <c r="J172" s="5">
        <f t="shared" si="15"/>
        <v>0</v>
      </c>
      <c r="K172" s="5">
        <v>0.34300000000000003</v>
      </c>
      <c r="L172" s="5">
        <v>396252.31717119995</v>
      </c>
      <c r="M172" s="5">
        <v>1.26</v>
      </c>
      <c r="N172" s="5">
        <v>0.69599999999999995</v>
      </c>
      <c r="O172" s="5">
        <v>15.011399999999998</v>
      </c>
      <c r="P172" s="5">
        <v>1560867.8459999999</v>
      </c>
      <c r="Q172" s="5">
        <v>45228.296639999993</v>
      </c>
      <c r="R172" s="5">
        <v>25891.561119999998</v>
      </c>
      <c r="S172" s="5">
        <v>29.717999999999996</v>
      </c>
      <c r="T172" s="5">
        <v>1</v>
      </c>
      <c r="U172" s="5">
        <v>1</v>
      </c>
      <c r="V172" s="5">
        <v>1</v>
      </c>
      <c r="W172" s="5">
        <v>35.051999999999992</v>
      </c>
      <c r="X172" s="5">
        <v>0.89700000000000002</v>
      </c>
    </row>
    <row r="173" spans="1:24" x14ac:dyDescent="0.25">
      <c r="A173" s="5" t="s">
        <v>497</v>
      </c>
      <c r="B173" s="5">
        <v>11.6672052896</v>
      </c>
      <c r="C173" s="5">
        <v>1496.7711999999999</v>
      </c>
      <c r="D173" s="6">
        <v>50.8</v>
      </c>
      <c r="E173" s="6">
        <v>50.8</v>
      </c>
      <c r="F173" s="5">
        <v>7.9501999999999997</v>
      </c>
      <c r="G173" s="5">
        <f t="shared" si="13"/>
        <v>1</v>
      </c>
      <c r="H173" s="6" t="str">
        <f t="shared" si="14"/>
        <v>BB</v>
      </c>
      <c r="I173" s="5">
        <v>15.468599999999999</v>
      </c>
      <c r="J173" s="5">
        <f t="shared" si="15"/>
        <v>0</v>
      </c>
      <c r="K173" s="5">
        <v>0.28999999999999998</v>
      </c>
      <c r="L173" s="5">
        <v>344639.62039679993</v>
      </c>
      <c r="M173" s="5">
        <v>1.07</v>
      </c>
      <c r="N173" s="5">
        <v>0.59599999999999997</v>
      </c>
      <c r="O173" s="5">
        <v>15.189199999999998</v>
      </c>
      <c r="P173" s="5">
        <v>703431.10926399985</v>
      </c>
      <c r="Q173" s="5">
        <v>23105.760239999996</v>
      </c>
      <c r="R173" s="5">
        <v>13847.069079999997</v>
      </c>
      <c r="S173" s="5">
        <v>21.6662</v>
      </c>
      <c r="T173" s="5">
        <f t="shared" si="16"/>
        <v>1</v>
      </c>
      <c r="U173" s="5">
        <f t="shared" si="17"/>
        <v>1</v>
      </c>
      <c r="V173" s="5">
        <f t="shared" si="18"/>
        <v>1</v>
      </c>
      <c r="W173" s="5">
        <v>28.955999999999996</v>
      </c>
      <c r="X173" s="5">
        <v>0.84099999999999997</v>
      </c>
    </row>
    <row r="174" spans="1:24" x14ac:dyDescent="0.25">
      <c r="A174" s="5" t="s">
        <v>498</v>
      </c>
      <c r="B174" s="5">
        <v>11.6672052896</v>
      </c>
      <c r="C174" s="5">
        <v>1496.7711999999999</v>
      </c>
      <c r="D174" s="6">
        <v>50.8</v>
      </c>
      <c r="E174" s="6">
        <v>50.8</v>
      </c>
      <c r="F174" s="5">
        <v>7.9501999999999997</v>
      </c>
      <c r="G174" s="5">
        <f t="shared" si="13"/>
        <v>1</v>
      </c>
      <c r="H174" s="6" t="str">
        <f t="shared" si="14"/>
        <v>BB</v>
      </c>
      <c r="I174" s="5">
        <v>15.468599999999999</v>
      </c>
      <c r="J174" s="5">
        <f t="shared" si="15"/>
        <v>0</v>
      </c>
      <c r="K174" s="5">
        <v>0.28999999999999998</v>
      </c>
      <c r="L174" s="5">
        <v>344639.62039679993</v>
      </c>
      <c r="M174" s="5">
        <v>1.07</v>
      </c>
      <c r="N174" s="5">
        <v>0.59599999999999997</v>
      </c>
      <c r="O174" s="5">
        <v>15.189199999999998</v>
      </c>
      <c r="P174" s="5">
        <v>957332.27887999988</v>
      </c>
      <c r="Q174" s="5">
        <v>30316.0684</v>
      </c>
      <c r="R174" s="5">
        <v>17206.4172</v>
      </c>
      <c r="S174" s="5">
        <v>25.298399999999997</v>
      </c>
      <c r="T174" s="5">
        <f t="shared" si="16"/>
        <v>1</v>
      </c>
      <c r="U174" s="5">
        <f t="shared" si="17"/>
        <v>1</v>
      </c>
      <c r="V174" s="5">
        <f t="shared" si="18"/>
        <v>1</v>
      </c>
      <c r="W174" s="5">
        <v>31.75</v>
      </c>
      <c r="X174" s="5">
        <v>0.86799999999999999</v>
      </c>
    </row>
    <row r="175" spans="1:24" x14ac:dyDescent="0.25">
      <c r="A175" s="5" t="s">
        <v>499</v>
      </c>
      <c r="B175" s="5">
        <v>11.6672052896</v>
      </c>
      <c r="C175" s="5">
        <v>1496.7711999999999</v>
      </c>
      <c r="D175" s="6">
        <v>50.8</v>
      </c>
      <c r="E175" s="6">
        <v>50.8</v>
      </c>
      <c r="F175" s="5">
        <v>7.9501999999999997</v>
      </c>
      <c r="G175" s="5">
        <f t="shared" si="13"/>
        <v>1</v>
      </c>
      <c r="H175" s="6" t="str">
        <f t="shared" si="14"/>
        <v>BB</v>
      </c>
      <c r="I175" s="5">
        <v>15.468599999999999</v>
      </c>
      <c r="J175" s="5">
        <f t="shared" si="15"/>
        <v>0</v>
      </c>
      <c r="K175" s="5">
        <v>0.28999999999999998</v>
      </c>
      <c r="L175" s="5">
        <v>344639.62039679993</v>
      </c>
      <c r="M175" s="5">
        <v>1.07</v>
      </c>
      <c r="N175" s="5">
        <v>0.59599999999999997</v>
      </c>
      <c r="O175" s="5">
        <v>15.189199999999998</v>
      </c>
      <c r="P175" s="5">
        <v>1277830.4765919999</v>
      </c>
      <c r="Q175" s="5">
        <v>37362.505919999996</v>
      </c>
      <c r="R175" s="5">
        <v>21139.312559999998</v>
      </c>
      <c r="S175" s="5">
        <v>29.209999999999997</v>
      </c>
      <c r="T175" s="5">
        <f t="shared" si="16"/>
        <v>1</v>
      </c>
      <c r="U175" s="5">
        <f t="shared" si="17"/>
        <v>1</v>
      </c>
      <c r="V175" s="5">
        <f t="shared" si="18"/>
        <v>1</v>
      </c>
      <c r="W175" s="5">
        <v>34.798000000000002</v>
      </c>
      <c r="X175" s="5">
        <v>0.89100000000000001</v>
      </c>
    </row>
    <row r="176" spans="1:24" x14ac:dyDescent="0.25">
      <c r="A176" s="5" t="s">
        <v>500</v>
      </c>
      <c r="B176" s="5">
        <v>9.4944859372000003</v>
      </c>
      <c r="C176" s="5">
        <v>1219.3524</v>
      </c>
      <c r="D176" s="6">
        <v>50.8</v>
      </c>
      <c r="E176" s="6">
        <v>50.8</v>
      </c>
      <c r="F176" s="5">
        <v>6.35</v>
      </c>
      <c r="G176" s="5">
        <f t="shared" si="13"/>
        <v>1</v>
      </c>
      <c r="H176" s="6" t="str">
        <f t="shared" si="14"/>
        <v>BB</v>
      </c>
      <c r="I176" s="5">
        <v>14.884399999999998</v>
      </c>
      <c r="J176" s="5">
        <f t="shared" si="15"/>
        <v>0</v>
      </c>
      <c r="K176" s="5">
        <v>0.23599999999999999</v>
      </c>
      <c r="L176" s="5">
        <v>288032.14651519997</v>
      </c>
      <c r="M176" s="5">
        <v>0.88</v>
      </c>
      <c r="N176" s="5">
        <v>0.48799999999999999</v>
      </c>
      <c r="O176" s="5">
        <v>15.366999999999999</v>
      </c>
      <c r="P176" s="5">
        <v>557750.11030399997</v>
      </c>
      <c r="Q176" s="5">
        <v>18189.641039999999</v>
      </c>
      <c r="R176" s="5">
        <v>10979.33288</v>
      </c>
      <c r="S176" s="5">
        <v>21.386799999999997</v>
      </c>
      <c r="T176" s="5">
        <f t="shared" si="16"/>
        <v>1</v>
      </c>
      <c r="U176" s="5">
        <f t="shared" si="17"/>
        <v>1</v>
      </c>
      <c r="V176" s="5">
        <f t="shared" si="18"/>
        <v>1</v>
      </c>
      <c r="W176" s="5">
        <v>28.701999999999995</v>
      </c>
      <c r="X176" s="5">
        <v>0.83499999999999996</v>
      </c>
    </row>
    <row r="177" spans="1:24" x14ac:dyDescent="0.25">
      <c r="A177" s="5" t="s">
        <v>501</v>
      </c>
      <c r="B177" s="5">
        <v>9.4944859372000003</v>
      </c>
      <c r="C177" s="5">
        <v>1219.3524</v>
      </c>
      <c r="D177" s="6">
        <v>50.8</v>
      </c>
      <c r="E177" s="6">
        <v>50.8</v>
      </c>
      <c r="F177" s="5">
        <v>6.35</v>
      </c>
      <c r="G177" s="5">
        <f t="shared" si="13"/>
        <v>1</v>
      </c>
      <c r="H177" s="6" t="str">
        <f t="shared" si="14"/>
        <v>BB</v>
      </c>
      <c r="I177" s="5">
        <v>14.884399999999998</v>
      </c>
      <c r="J177" s="5">
        <f t="shared" si="15"/>
        <v>0</v>
      </c>
      <c r="K177" s="5">
        <v>0.23599999999999999</v>
      </c>
      <c r="L177" s="5">
        <v>288032.14651519997</v>
      </c>
      <c r="M177" s="5">
        <v>0.88</v>
      </c>
      <c r="N177" s="5">
        <v>0.48799999999999999</v>
      </c>
      <c r="O177" s="5">
        <v>15.366999999999999</v>
      </c>
      <c r="P177" s="5">
        <v>757541.19459199999</v>
      </c>
      <c r="Q177" s="5">
        <v>23925.113439999997</v>
      </c>
      <c r="R177" s="5">
        <v>13634.037247999999</v>
      </c>
      <c r="S177" s="5">
        <v>24.942799999999998</v>
      </c>
      <c r="T177" s="5">
        <f t="shared" si="16"/>
        <v>1</v>
      </c>
      <c r="U177" s="5">
        <f t="shared" si="17"/>
        <v>1</v>
      </c>
      <c r="V177" s="5">
        <f t="shared" si="18"/>
        <v>1</v>
      </c>
      <c r="W177" s="5">
        <v>31.495999999999999</v>
      </c>
      <c r="X177" s="5">
        <v>0.86199999999999999</v>
      </c>
    </row>
    <row r="178" spans="1:24" x14ac:dyDescent="0.25">
      <c r="A178" s="5" t="s">
        <v>502</v>
      </c>
      <c r="B178" s="5">
        <v>9.4944859372000003</v>
      </c>
      <c r="C178" s="5">
        <v>1219.3524</v>
      </c>
      <c r="D178" s="6">
        <v>50.8</v>
      </c>
      <c r="E178" s="6">
        <v>50.8</v>
      </c>
      <c r="F178" s="5">
        <v>6.35</v>
      </c>
      <c r="G178" s="5">
        <f t="shared" si="13"/>
        <v>1</v>
      </c>
      <c r="H178" s="6" t="str">
        <f t="shared" si="14"/>
        <v>BB</v>
      </c>
      <c r="I178" s="5">
        <v>14.884399999999998</v>
      </c>
      <c r="J178" s="5">
        <f t="shared" si="15"/>
        <v>0</v>
      </c>
      <c r="K178" s="5">
        <v>0.23599999999999999</v>
      </c>
      <c r="L178" s="5">
        <v>288032.14651519997</v>
      </c>
      <c r="M178" s="5">
        <v>0.88</v>
      </c>
      <c r="N178" s="5">
        <v>0.48799999999999999</v>
      </c>
      <c r="O178" s="5">
        <v>15.366999999999999</v>
      </c>
      <c r="P178" s="5">
        <v>1023929.3069759998</v>
      </c>
      <c r="Q178" s="5">
        <v>29660.58584</v>
      </c>
      <c r="R178" s="5">
        <v>17042.546559999999</v>
      </c>
      <c r="S178" s="5">
        <v>28.955999999999996</v>
      </c>
      <c r="T178" s="5">
        <f t="shared" si="16"/>
        <v>1</v>
      </c>
      <c r="U178" s="5">
        <f t="shared" si="17"/>
        <v>1</v>
      </c>
      <c r="V178" s="5">
        <f t="shared" si="18"/>
        <v>1</v>
      </c>
      <c r="W178" s="5">
        <v>34.798000000000002</v>
      </c>
      <c r="X178" s="5">
        <v>0.88600000000000001</v>
      </c>
    </row>
    <row r="179" spans="1:24" x14ac:dyDescent="0.25">
      <c r="A179" s="5" t="s">
        <v>503</v>
      </c>
      <c r="B179" s="5">
        <v>7.2622400271999998</v>
      </c>
      <c r="C179" s="5">
        <v>929.03039999999987</v>
      </c>
      <c r="D179" s="6">
        <v>50.8</v>
      </c>
      <c r="E179" s="6">
        <v>50.8</v>
      </c>
      <c r="F179" s="5">
        <v>4.7751999999999999</v>
      </c>
      <c r="G179" s="5">
        <f t="shared" si="13"/>
        <v>1</v>
      </c>
      <c r="H179" s="6" t="str">
        <f t="shared" si="14"/>
        <v>BB</v>
      </c>
      <c r="I179" s="5">
        <v>14.249400000000001</v>
      </c>
      <c r="J179" s="5">
        <f t="shared" si="15"/>
        <v>0</v>
      </c>
      <c r="K179" s="5">
        <v>0.18099999999999999</v>
      </c>
      <c r="L179" s="5">
        <v>225597.43267519999</v>
      </c>
      <c r="M179" s="5">
        <v>0.67600000000000005</v>
      </c>
      <c r="N179" s="5">
        <v>0.376</v>
      </c>
      <c r="O179" s="5">
        <v>15.544799999999999</v>
      </c>
      <c r="P179" s="5">
        <v>413734.03704639996</v>
      </c>
      <c r="Q179" s="5">
        <v>13273.521839999999</v>
      </c>
      <c r="R179" s="5">
        <v>8144.3708079999988</v>
      </c>
      <c r="S179" s="5">
        <v>21.107399999999998</v>
      </c>
      <c r="T179" s="5">
        <f t="shared" si="16"/>
        <v>1</v>
      </c>
      <c r="U179" s="5">
        <f t="shared" si="17"/>
        <v>1</v>
      </c>
      <c r="V179" s="5">
        <f t="shared" si="18"/>
        <v>1</v>
      </c>
      <c r="W179" s="5">
        <v>28.701999999999995</v>
      </c>
      <c r="X179" s="5">
        <v>0.83</v>
      </c>
    </row>
    <row r="180" spans="1:24" x14ac:dyDescent="0.25">
      <c r="A180" s="5" t="s">
        <v>504</v>
      </c>
      <c r="B180" s="5">
        <v>7.2622400271999998</v>
      </c>
      <c r="C180" s="5">
        <v>929.03039999999987</v>
      </c>
      <c r="D180" s="6">
        <v>50.8</v>
      </c>
      <c r="E180" s="6">
        <v>50.8</v>
      </c>
      <c r="F180" s="5">
        <v>4.7751999999999999</v>
      </c>
      <c r="G180" s="5">
        <f t="shared" si="13"/>
        <v>1</v>
      </c>
      <c r="H180" s="6" t="str">
        <f t="shared" si="14"/>
        <v>BB</v>
      </c>
      <c r="I180" s="5">
        <v>14.249400000000001</v>
      </c>
      <c r="J180" s="5">
        <f t="shared" si="15"/>
        <v>0</v>
      </c>
      <c r="K180" s="5">
        <v>0.18099999999999999</v>
      </c>
      <c r="L180" s="5">
        <v>225597.43267519999</v>
      </c>
      <c r="M180" s="5">
        <v>0.67600000000000005</v>
      </c>
      <c r="N180" s="5">
        <v>0.376</v>
      </c>
      <c r="O180" s="5">
        <v>15.544799999999999</v>
      </c>
      <c r="P180" s="5">
        <v>561912.42455999996</v>
      </c>
      <c r="Q180" s="5">
        <v>17698.029119999999</v>
      </c>
      <c r="R180" s="5">
        <v>10110.818487999999</v>
      </c>
      <c r="S180" s="5">
        <v>24.561799999999998</v>
      </c>
      <c r="T180" s="5">
        <f t="shared" si="16"/>
        <v>1</v>
      </c>
      <c r="U180" s="5">
        <f t="shared" si="17"/>
        <v>1</v>
      </c>
      <c r="V180" s="5">
        <f t="shared" si="18"/>
        <v>1</v>
      </c>
      <c r="W180" s="5">
        <v>31.495999999999999</v>
      </c>
      <c r="X180" s="5">
        <v>0.85699999999999998</v>
      </c>
    </row>
    <row r="181" spans="1:24" x14ac:dyDescent="0.25">
      <c r="A181" s="5" t="s">
        <v>505</v>
      </c>
      <c r="B181" s="5">
        <v>7.2622400271999998</v>
      </c>
      <c r="C181" s="5">
        <v>929.03039999999987</v>
      </c>
      <c r="D181" s="6">
        <v>50.8</v>
      </c>
      <c r="E181" s="6">
        <v>50.8</v>
      </c>
      <c r="F181" s="5">
        <v>4.7751999999999999</v>
      </c>
      <c r="G181" s="5">
        <f t="shared" si="13"/>
        <v>1</v>
      </c>
      <c r="H181" s="6" t="str">
        <f t="shared" si="14"/>
        <v>BB</v>
      </c>
      <c r="I181" s="5">
        <v>14.249400000000001</v>
      </c>
      <c r="J181" s="5">
        <f t="shared" si="15"/>
        <v>0</v>
      </c>
      <c r="K181" s="5">
        <v>0.18099999999999999</v>
      </c>
      <c r="L181" s="5">
        <v>225597.43267519999</v>
      </c>
      <c r="M181" s="5">
        <v>0.67600000000000005</v>
      </c>
      <c r="N181" s="5">
        <v>0.376</v>
      </c>
      <c r="O181" s="5">
        <v>15.544799999999999</v>
      </c>
      <c r="P181" s="5">
        <v>753378.880336</v>
      </c>
      <c r="Q181" s="5">
        <v>22122.536400000001</v>
      </c>
      <c r="R181" s="5">
        <v>12486.942767999999</v>
      </c>
      <c r="S181" s="5">
        <v>28.448</v>
      </c>
      <c r="T181" s="5">
        <f t="shared" si="16"/>
        <v>1</v>
      </c>
      <c r="U181" s="5">
        <f t="shared" si="17"/>
        <v>1</v>
      </c>
      <c r="V181" s="5">
        <f t="shared" si="18"/>
        <v>1</v>
      </c>
      <c r="W181" s="5">
        <v>34.544000000000004</v>
      </c>
      <c r="X181" s="5">
        <v>0.88200000000000001</v>
      </c>
    </row>
    <row r="182" spans="1:24" x14ac:dyDescent="0.25">
      <c r="A182" s="5" t="s">
        <v>506</v>
      </c>
      <c r="B182" s="5">
        <v>4.9109410019999995</v>
      </c>
      <c r="C182" s="5">
        <v>633.54711999999995</v>
      </c>
      <c r="D182" s="6">
        <v>50.8</v>
      </c>
      <c r="E182" s="6">
        <v>50.8</v>
      </c>
      <c r="F182" s="5">
        <v>3.1749999999999998</v>
      </c>
      <c r="G182" s="5">
        <f t="shared" si="13"/>
        <v>1</v>
      </c>
      <c r="H182" s="6" t="str">
        <f t="shared" si="14"/>
        <v>BB</v>
      </c>
      <c r="I182" s="5">
        <v>13.563599999999999</v>
      </c>
      <c r="J182" s="5">
        <f t="shared" si="15"/>
        <v>0</v>
      </c>
      <c r="K182" s="5">
        <v>0.123</v>
      </c>
      <c r="L182" s="5">
        <v>157335.47887679999</v>
      </c>
      <c r="M182" s="5">
        <v>0.46</v>
      </c>
      <c r="N182" s="5">
        <v>0.25800000000000001</v>
      </c>
      <c r="O182" s="5">
        <v>15.747999999999999</v>
      </c>
      <c r="P182" s="5">
        <v>273464.04661919997</v>
      </c>
      <c r="Q182" s="5">
        <v>8586.8215359999995</v>
      </c>
      <c r="R182" s="5">
        <v>5374.9569919999994</v>
      </c>
      <c r="S182" s="5">
        <v>20.777199999999997</v>
      </c>
      <c r="T182" s="5">
        <f t="shared" si="16"/>
        <v>1</v>
      </c>
      <c r="U182" s="5">
        <f t="shared" si="17"/>
        <v>1</v>
      </c>
      <c r="V182" s="5">
        <f t="shared" si="18"/>
        <v>1</v>
      </c>
      <c r="W182" s="5">
        <v>28.701999999999995</v>
      </c>
      <c r="X182" s="5">
        <v>0.82599999999999996</v>
      </c>
    </row>
    <row r="183" spans="1:24" x14ac:dyDescent="0.25">
      <c r="A183" s="5" t="s">
        <v>507</v>
      </c>
      <c r="B183" s="5">
        <v>4.9109410019999995</v>
      </c>
      <c r="C183" s="5">
        <v>633.54711999999995</v>
      </c>
      <c r="D183" s="6">
        <v>50.8</v>
      </c>
      <c r="E183" s="6">
        <v>50.8</v>
      </c>
      <c r="F183" s="5">
        <v>3.1749999999999998</v>
      </c>
      <c r="G183" s="5">
        <f t="shared" si="13"/>
        <v>1</v>
      </c>
      <c r="H183" s="6" t="str">
        <f t="shared" si="14"/>
        <v>BB</v>
      </c>
      <c r="I183" s="5">
        <v>13.563599999999999</v>
      </c>
      <c r="J183" s="5">
        <f t="shared" si="15"/>
        <v>0</v>
      </c>
      <c r="K183" s="5">
        <v>0.123</v>
      </c>
      <c r="L183" s="5">
        <v>157335.47887679999</v>
      </c>
      <c r="M183" s="5">
        <v>0.46</v>
      </c>
      <c r="N183" s="5">
        <v>0.25800000000000001</v>
      </c>
      <c r="O183" s="5">
        <v>15.747999999999999</v>
      </c>
      <c r="P183" s="5">
        <v>369613.50593279995</v>
      </c>
      <c r="Q183" s="5">
        <v>11618.428375999998</v>
      </c>
      <c r="R183" s="5">
        <v>6653.1479840000002</v>
      </c>
      <c r="S183" s="5">
        <v>24.155399999999997</v>
      </c>
      <c r="T183" s="5">
        <f t="shared" si="16"/>
        <v>1</v>
      </c>
      <c r="U183" s="5">
        <f t="shared" si="17"/>
        <v>1</v>
      </c>
      <c r="V183" s="5">
        <f t="shared" si="18"/>
        <v>1</v>
      </c>
      <c r="W183" s="5">
        <v>31.241999999999997</v>
      </c>
      <c r="X183" s="5">
        <v>0.85299999999999998</v>
      </c>
    </row>
    <row r="184" spans="1:24" x14ac:dyDescent="0.25">
      <c r="A184" s="5" t="s">
        <v>508</v>
      </c>
      <c r="B184" s="5">
        <v>4.9109410019999995</v>
      </c>
      <c r="C184" s="5">
        <v>633.54711999999995</v>
      </c>
      <c r="D184" s="6">
        <v>50.8</v>
      </c>
      <c r="E184" s="6">
        <v>50.8</v>
      </c>
      <c r="F184" s="5">
        <v>3.1749999999999998</v>
      </c>
      <c r="G184" s="5">
        <f t="shared" si="13"/>
        <v>1</v>
      </c>
      <c r="H184" s="6" t="str">
        <f t="shared" si="14"/>
        <v>BB</v>
      </c>
      <c r="I184" s="5">
        <v>13.563599999999999</v>
      </c>
      <c r="J184" s="5">
        <f t="shared" si="15"/>
        <v>0</v>
      </c>
      <c r="K184" s="5">
        <v>0.123</v>
      </c>
      <c r="L184" s="5">
        <v>157335.47887679999</v>
      </c>
      <c r="M184" s="5">
        <v>0.46</v>
      </c>
      <c r="N184" s="5">
        <v>0.25800000000000001</v>
      </c>
      <c r="O184" s="5">
        <v>15.747999999999999</v>
      </c>
      <c r="P184" s="5">
        <v>495315.39646399993</v>
      </c>
      <c r="Q184" s="5">
        <v>14633.648152</v>
      </c>
      <c r="R184" s="5">
        <v>8209.9190639999997</v>
      </c>
      <c r="S184" s="5">
        <v>27.94</v>
      </c>
      <c r="T184" s="5">
        <f t="shared" si="16"/>
        <v>1</v>
      </c>
      <c r="U184" s="5">
        <f t="shared" si="17"/>
        <v>1</v>
      </c>
      <c r="V184" s="5">
        <f t="shared" si="18"/>
        <v>1</v>
      </c>
      <c r="W184" s="5">
        <v>34.29</v>
      </c>
      <c r="X184" s="5">
        <v>0.877</v>
      </c>
    </row>
    <row r="185" spans="1:24" x14ac:dyDescent="0.25">
      <c r="A185" s="5" t="s">
        <v>509</v>
      </c>
      <c r="B185" s="5">
        <v>131.55369229600001</v>
      </c>
      <c r="C185" s="5">
        <v>16903.191999999999</v>
      </c>
      <c r="D185" s="6">
        <v>203.2</v>
      </c>
      <c r="E185" s="6">
        <v>152.39999999999998</v>
      </c>
      <c r="F185" s="5">
        <v>25.4</v>
      </c>
      <c r="G185" s="5">
        <f t="shared" si="13"/>
        <v>1</v>
      </c>
      <c r="H185" s="6" t="s">
        <v>970</v>
      </c>
      <c r="I185" s="5">
        <v>67.309999999999988</v>
      </c>
      <c r="J185" s="5">
        <f t="shared" si="15"/>
        <v>0</v>
      </c>
      <c r="K185" s="5">
        <v>1.45</v>
      </c>
      <c r="L185" s="5">
        <v>67429490.9472</v>
      </c>
      <c r="M185" s="5">
        <v>54.6</v>
      </c>
      <c r="N185" s="5">
        <v>30.2</v>
      </c>
      <c r="O185" s="5">
        <v>63.246000000000002</v>
      </c>
      <c r="P185" s="5">
        <v>62434713.839999996</v>
      </c>
      <c r="Q185" s="5">
        <v>707921.16480000003</v>
      </c>
      <c r="R185" s="5">
        <v>409676.6</v>
      </c>
      <c r="S185" s="5">
        <v>60.706000000000003</v>
      </c>
      <c r="T185" s="5">
        <f t="shared" si="16"/>
        <v>1</v>
      </c>
      <c r="U185" s="5">
        <f t="shared" si="17"/>
        <v>1</v>
      </c>
      <c r="V185" s="5">
        <f t="shared" si="18"/>
        <v>1</v>
      </c>
      <c r="W185" s="5">
        <v>103.12399999999998</v>
      </c>
      <c r="X185" s="5">
        <v>0.72099999999999997</v>
      </c>
    </row>
    <row r="186" spans="1:24" x14ac:dyDescent="0.25">
      <c r="A186" s="5" t="s">
        <v>510</v>
      </c>
      <c r="B186" s="5">
        <v>131.55369229600001</v>
      </c>
      <c r="C186" s="5">
        <v>16903.191999999999</v>
      </c>
      <c r="D186" s="6">
        <v>203.2</v>
      </c>
      <c r="E186" s="6">
        <v>152.39999999999998</v>
      </c>
      <c r="F186" s="5">
        <v>25.4</v>
      </c>
      <c r="G186" s="5">
        <f t="shared" si="13"/>
        <v>1</v>
      </c>
      <c r="H186" s="6" t="str">
        <f t="shared" si="14"/>
        <v>LLBB</v>
      </c>
      <c r="I186" s="5">
        <v>67.309999999999988</v>
      </c>
      <c r="J186" s="5">
        <f t="shared" si="15"/>
        <v>0</v>
      </c>
      <c r="K186" s="5">
        <v>1.45</v>
      </c>
      <c r="L186" s="5">
        <v>67429490.9472</v>
      </c>
      <c r="M186" s="5">
        <v>54.6</v>
      </c>
      <c r="N186" s="5">
        <v>30.2</v>
      </c>
      <c r="O186" s="5">
        <v>63.246000000000002</v>
      </c>
      <c r="P186" s="5">
        <v>69094416.649599999</v>
      </c>
      <c r="Q186" s="5">
        <v>788217.77839999995</v>
      </c>
      <c r="R186" s="5">
        <v>439173.31519999995</v>
      </c>
      <c r="S186" s="5">
        <v>64.007999999999996</v>
      </c>
      <c r="T186" s="5">
        <f t="shared" si="16"/>
        <v>1</v>
      </c>
      <c r="U186" s="5">
        <f t="shared" si="17"/>
        <v>1</v>
      </c>
      <c r="V186" s="5">
        <f t="shared" si="18"/>
        <v>1</v>
      </c>
      <c r="W186" s="5">
        <v>105.15599999999999</v>
      </c>
      <c r="X186" s="5">
        <v>0.73199999999999998</v>
      </c>
    </row>
    <row r="187" spans="1:24" x14ac:dyDescent="0.25">
      <c r="A187" s="5" t="s">
        <v>511</v>
      </c>
      <c r="B187" s="5">
        <v>131.55369229600001</v>
      </c>
      <c r="C187" s="5">
        <v>16903.191999999999</v>
      </c>
      <c r="D187" s="6">
        <v>203.2</v>
      </c>
      <c r="E187" s="6">
        <v>152.39999999999998</v>
      </c>
      <c r="F187" s="5">
        <v>25.4</v>
      </c>
      <c r="G187" s="5">
        <f t="shared" si="13"/>
        <v>1</v>
      </c>
      <c r="H187" s="6" t="str">
        <f t="shared" si="14"/>
        <v>LLBB</v>
      </c>
      <c r="I187" s="5">
        <v>67.309999999999988</v>
      </c>
      <c r="J187" s="5">
        <f t="shared" si="15"/>
        <v>0</v>
      </c>
      <c r="K187" s="5">
        <v>1.45</v>
      </c>
      <c r="L187" s="5">
        <v>67429490.9472</v>
      </c>
      <c r="M187" s="5">
        <v>54.6</v>
      </c>
      <c r="N187" s="5">
        <v>30.2</v>
      </c>
      <c r="O187" s="5">
        <v>63.246000000000002</v>
      </c>
      <c r="P187" s="5">
        <v>77002813.735999987</v>
      </c>
      <c r="Q187" s="5">
        <v>870153.0983999999</v>
      </c>
      <c r="R187" s="5">
        <v>475224.85599999997</v>
      </c>
      <c r="S187" s="5">
        <v>67.563999999999993</v>
      </c>
      <c r="T187" s="5">
        <f t="shared" si="16"/>
        <v>1</v>
      </c>
      <c r="U187" s="5">
        <f t="shared" si="17"/>
        <v>1</v>
      </c>
      <c r="V187" s="5">
        <f t="shared" si="18"/>
        <v>1</v>
      </c>
      <c r="W187" s="5">
        <v>107.44200000000001</v>
      </c>
      <c r="X187" s="5">
        <v>0.74199999999999999</v>
      </c>
    </row>
    <row r="188" spans="1:24" x14ac:dyDescent="0.25">
      <c r="A188" s="5" t="s">
        <v>512</v>
      </c>
      <c r="B188" s="5">
        <v>116.374420108</v>
      </c>
      <c r="C188" s="5">
        <v>14838.679999999998</v>
      </c>
      <c r="D188" s="6">
        <v>203.2</v>
      </c>
      <c r="E188" s="6">
        <v>152.39999999999998</v>
      </c>
      <c r="F188" s="5">
        <v>22.224999999999998</v>
      </c>
      <c r="G188" s="5">
        <f t="shared" si="13"/>
        <v>1</v>
      </c>
      <c r="H188" s="6" t="str">
        <f t="shared" si="14"/>
        <v>LLBB</v>
      </c>
      <c r="I188" s="5">
        <v>66.039999999999992</v>
      </c>
      <c r="J188" s="5">
        <f t="shared" si="15"/>
        <v>0</v>
      </c>
      <c r="K188" s="5">
        <v>1.43</v>
      </c>
      <c r="L188" s="5">
        <v>60353556.711999997</v>
      </c>
      <c r="M188" s="5">
        <v>48.6</v>
      </c>
      <c r="N188" s="5">
        <v>26.8</v>
      </c>
      <c r="O188" s="5">
        <v>63.5</v>
      </c>
      <c r="P188" s="5">
        <v>53693853.902399994</v>
      </c>
      <c r="Q188" s="5">
        <v>603043.95519999985</v>
      </c>
      <c r="R188" s="5">
        <v>352321.87599999999</v>
      </c>
      <c r="S188" s="5">
        <v>60.198</v>
      </c>
      <c r="T188" s="5">
        <f t="shared" si="16"/>
        <v>1</v>
      </c>
      <c r="U188" s="5">
        <f t="shared" si="17"/>
        <v>1</v>
      </c>
      <c r="V188" s="5">
        <f t="shared" si="18"/>
        <v>1</v>
      </c>
      <c r="W188" s="5">
        <v>103.378</v>
      </c>
      <c r="X188" s="5">
        <v>0.71799999999999997</v>
      </c>
    </row>
    <row r="189" spans="1:24" x14ac:dyDescent="0.25">
      <c r="A189" s="5" t="s">
        <v>513</v>
      </c>
      <c r="B189" s="5">
        <v>116.374420108</v>
      </c>
      <c r="C189" s="5">
        <v>14838.679999999998</v>
      </c>
      <c r="D189" s="6">
        <v>203.2</v>
      </c>
      <c r="E189" s="6">
        <v>152.39999999999998</v>
      </c>
      <c r="F189" s="5">
        <v>22.224999999999998</v>
      </c>
      <c r="G189" s="5">
        <f t="shared" si="13"/>
        <v>1</v>
      </c>
      <c r="H189" s="6" t="str">
        <f t="shared" si="14"/>
        <v>LLBB</v>
      </c>
      <c r="I189" s="5">
        <v>66.039999999999992</v>
      </c>
      <c r="J189" s="5">
        <f t="shared" si="15"/>
        <v>0</v>
      </c>
      <c r="K189" s="5">
        <v>1.43</v>
      </c>
      <c r="L189" s="5">
        <v>60353556.711999997</v>
      </c>
      <c r="M189" s="5">
        <v>48.6</v>
      </c>
      <c r="N189" s="5">
        <v>26.8</v>
      </c>
      <c r="O189" s="5">
        <v>63.5</v>
      </c>
      <c r="P189" s="5">
        <v>59937325.28639999</v>
      </c>
      <c r="Q189" s="5">
        <v>673508.33039999998</v>
      </c>
      <c r="R189" s="5">
        <v>381818.59119999997</v>
      </c>
      <c r="S189" s="5">
        <v>63.5</v>
      </c>
      <c r="T189" s="5">
        <f t="shared" si="16"/>
        <v>1</v>
      </c>
      <c r="U189" s="5">
        <f t="shared" si="17"/>
        <v>1</v>
      </c>
      <c r="V189" s="5">
        <f t="shared" si="18"/>
        <v>1</v>
      </c>
      <c r="W189" s="5">
        <v>105.15599999999999</v>
      </c>
      <c r="X189" s="5">
        <v>0.72799999999999998</v>
      </c>
    </row>
    <row r="190" spans="1:24" x14ac:dyDescent="0.25">
      <c r="A190" s="5" t="s">
        <v>514</v>
      </c>
      <c r="B190" s="5">
        <v>116.374420108</v>
      </c>
      <c r="C190" s="5">
        <v>14838.679999999998</v>
      </c>
      <c r="D190" s="6">
        <v>203.2</v>
      </c>
      <c r="E190" s="6">
        <v>152.39999999999998</v>
      </c>
      <c r="F190" s="5">
        <v>22.224999999999998</v>
      </c>
      <c r="G190" s="5">
        <f t="shared" si="13"/>
        <v>1</v>
      </c>
      <c r="H190" s="6" t="str">
        <f t="shared" si="14"/>
        <v>LLBB</v>
      </c>
      <c r="I190" s="5">
        <v>66.039999999999992</v>
      </c>
      <c r="J190" s="5">
        <f t="shared" si="15"/>
        <v>0</v>
      </c>
      <c r="K190" s="5">
        <v>1.43</v>
      </c>
      <c r="L190" s="5">
        <v>60353556.711999997</v>
      </c>
      <c r="M190" s="5">
        <v>48.6</v>
      </c>
      <c r="N190" s="5">
        <v>26.8</v>
      </c>
      <c r="O190" s="5">
        <v>63.5</v>
      </c>
      <c r="P190" s="5">
        <v>66180796.670399994</v>
      </c>
      <c r="Q190" s="5">
        <v>743972.70559999987</v>
      </c>
      <c r="R190" s="5">
        <v>408037.89359999995</v>
      </c>
      <c r="S190" s="5">
        <v>66.801999999999992</v>
      </c>
      <c r="T190" s="5">
        <f t="shared" si="16"/>
        <v>1</v>
      </c>
      <c r="U190" s="5">
        <f t="shared" si="17"/>
        <v>1</v>
      </c>
      <c r="V190" s="5">
        <f t="shared" si="18"/>
        <v>1</v>
      </c>
      <c r="W190" s="5">
        <v>107.44200000000001</v>
      </c>
      <c r="X190" s="5">
        <v>0.73899999999999999</v>
      </c>
    </row>
    <row r="191" spans="1:24" x14ac:dyDescent="0.25">
      <c r="A191" s="5" t="s">
        <v>515</v>
      </c>
      <c r="B191" s="5">
        <v>100.59988234399999</v>
      </c>
      <c r="C191" s="5">
        <v>12903.199999999999</v>
      </c>
      <c r="D191" s="6">
        <v>203.2</v>
      </c>
      <c r="E191" s="6">
        <v>152.39999999999998</v>
      </c>
      <c r="F191" s="5">
        <v>19.049999999999997</v>
      </c>
      <c r="G191" s="5">
        <f t="shared" si="13"/>
        <v>1</v>
      </c>
      <c r="H191" s="6" t="str">
        <f t="shared" si="14"/>
        <v>LLBB</v>
      </c>
      <c r="I191" s="5">
        <v>64.77</v>
      </c>
      <c r="J191" s="5">
        <f t="shared" si="15"/>
        <v>0</v>
      </c>
      <c r="K191" s="5">
        <v>1.34</v>
      </c>
      <c r="L191" s="5">
        <v>52861391.051199995</v>
      </c>
      <c r="M191" s="5">
        <v>42.2</v>
      </c>
      <c r="N191" s="5">
        <v>23.4</v>
      </c>
      <c r="O191" s="5">
        <v>64.007999999999996</v>
      </c>
      <c r="P191" s="5">
        <v>45785456.815999992</v>
      </c>
      <c r="Q191" s="5">
        <v>511276.39679999993</v>
      </c>
      <c r="R191" s="5">
        <v>299883.27119999996</v>
      </c>
      <c r="S191" s="5">
        <v>59.69</v>
      </c>
      <c r="T191" s="5">
        <f t="shared" si="16"/>
        <v>1</v>
      </c>
      <c r="U191" s="5">
        <f t="shared" si="17"/>
        <v>1</v>
      </c>
      <c r="V191" s="5">
        <f t="shared" si="18"/>
        <v>1</v>
      </c>
      <c r="W191" s="5">
        <v>103.378</v>
      </c>
      <c r="X191" s="5">
        <v>0.71399999999999997</v>
      </c>
    </row>
    <row r="192" spans="1:24" x14ac:dyDescent="0.25">
      <c r="A192" s="5" t="s">
        <v>516</v>
      </c>
      <c r="B192" s="5">
        <v>100.59988234399999</v>
      </c>
      <c r="C192" s="5">
        <v>12903.199999999999</v>
      </c>
      <c r="D192" s="6">
        <v>203.2</v>
      </c>
      <c r="E192" s="6">
        <v>152.39999999999998</v>
      </c>
      <c r="F192" s="5">
        <v>19.049999999999997</v>
      </c>
      <c r="G192" s="5">
        <f t="shared" si="13"/>
        <v>1</v>
      </c>
      <c r="H192" s="6" t="str">
        <f t="shared" si="14"/>
        <v>LLBB</v>
      </c>
      <c r="I192" s="5">
        <v>64.77</v>
      </c>
      <c r="J192" s="5">
        <f t="shared" si="15"/>
        <v>0</v>
      </c>
      <c r="K192" s="5">
        <v>1.34</v>
      </c>
      <c r="L192" s="5">
        <v>52861391.051199995</v>
      </c>
      <c r="M192" s="5">
        <v>42.2</v>
      </c>
      <c r="N192" s="5">
        <v>23.4</v>
      </c>
      <c r="O192" s="5">
        <v>64.007999999999996</v>
      </c>
      <c r="P192" s="5">
        <v>50780233.923199996</v>
      </c>
      <c r="Q192" s="5">
        <v>571908.53359999997</v>
      </c>
      <c r="R192" s="5">
        <v>322825.16079999995</v>
      </c>
      <c r="S192" s="5">
        <v>62.738</v>
      </c>
      <c r="T192" s="5">
        <f t="shared" si="16"/>
        <v>1</v>
      </c>
      <c r="U192" s="5">
        <f t="shared" si="17"/>
        <v>1</v>
      </c>
      <c r="V192" s="5">
        <f t="shared" si="18"/>
        <v>1</v>
      </c>
      <c r="W192" s="5">
        <v>105.41</v>
      </c>
      <c r="X192" s="5">
        <v>0.72499999999999998</v>
      </c>
    </row>
    <row r="193" spans="1:24" x14ac:dyDescent="0.25">
      <c r="A193" s="5" t="s">
        <v>517</v>
      </c>
      <c r="B193" s="5">
        <v>100.59988234399999</v>
      </c>
      <c r="C193" s="5">
        <v>12903.199999999999</v>
      </c>
      <c r="D193" s="6">
        <v>203.2</v>
      </c>
      <c r="E193" s="6">
        <v>152.39999999999998</v>
      </c>
      <c r="F193" s="5">
        <v>19.049999999999997</v>
      </c>
      <c r="G193" s="5">
        <f t="shared" si="13"/>
        <v>1</v>
      </c>
      <c r="H193" s="6" t="str">
        <f t="shared" si="14"/>
        <v>LLBB</v>
      </c>
      <c r="I193" s="5">
        <v>64.77</v>
      </c>
      <c r="J193" s="5">
        <f t="shared" si="15"/>
        <v>0</v>
      </c>
      <c r="K193" s="5">
        <v>1.34</v>
      </c>
      <c r="L193" s="5">
        <v>52861391.051199995</v>
      </c>
      <c r="M193" s="5">
        <v>42.2</v>
      </c>
      <c r="N193" s="5">
        <v>23.4</v>
      </c>
      <c r="O193" s="5">
        <v>64.007999999999996</v>
      </c>
      <c r="P193" s="5">
        <v>56607473.881599993</v>
      </c>
      <c r="Q193" s="5">
        <v>634179.37679999997</v>
      </c>
      <c r="R193" s="5">
        <v>349044.4632</v>
      </c>
      <c r="S193" s="5">
        <v>66.293999999999997</v>
      </c>
      <c r="T193" s="5">
        <f t="shared" si="16"/>
        <v>1</v>
      </c>
      <c r="U193" s="5">
        <f t="shared" si="17"/>
        <v>1</v>
      </c>
      <c r="V193" s="5">
        <f t="shared" si="18"/>
        <v>1</v>
      </c>
      <c r="W193" s="5">
        <v>107.44200000000001</v>
      </c>
      <c r="X193" s="5">
        <v>0.73499999999999999</v>
      </c>
    </row>
    <row r="194" spans="1:24" x14ac:dyDescent="0.25">
      <c r="A194" s="5" t="s">
        <v>518</v>
      </c>
      <c r="B194" s="5">
        <v>84.825344579999992</v>
      </c>
      <c r="C194" s="5">
        <v>10838.688</v>
      </c>
      <c r="D194" s="6">
        <v>203.2</v>
      </c>
      <c r="E194" s="6">
        <v>152.39999999999998</v>
      </c>
      <c r="F194" s="5">
        <v>15.875</v>
      </c>
      <c r="G194" s="5">
        <f t="shared" si="13"/>
        <v>1</v>
      </c>
      <c r="H194" s="6" t="str">
        <f t="shared" si="14"/>
        <v>LLBB</v>
      </c>
      <c r="I194" s="5">
        <v>63.5</v>
      </c>
      <c r="J194" s="5">
        <f t="shared" si="15"/>
        <v>0</v>
      </c>
      <c r="K194" s="5">
        <v>1.27</v>
      </c>
      <c r="L194" s="5">
        <v>44952993.964799993</v>
      </c>
      <c r="M194" s="5">
        <v>35.799999999999997</v>
      </c>
      <c r="N194" s="5">
        <v>19.7</v>
      </c>
      <c r="O194" s="5">
        <v>64.515999999999991</v>
      </c>
      <c r="P194" s="5">
        <v>37960306.01472</v>
      </c>
      <c r="Q194" s="5">
        <v>416231.42559999996</v>
      </c>
      <c r="R194" s="5">
        <v>249083.37279999995</v>
      </c>
      <c r="S194" s="5">
        <v>59.181999999999995</v>
      </c>
      <c r="T194" s="5">
        <f t="shared" si="16"/>
        <v>1</v>
      </c>
      <c r="U194" s="5">
        <f t="shared" si="17"/>
        <v>1</v>
      </c>
      <c r="V194" s="5">
        <f t="shared" si="18"/>
        <v>1</v>
      </c>
      <c r="W194" s="5">
        <v>103.63199999999999</v>
      </c>
      <c r="X194" s="5">
        <v>0.71199999999999997</v>
      </c>
    </row>
    <row r="195" spans="1:24" x14ac:dyDescent="0.25">
      <c r="A195" s="5" t="s">
        <v>519</v>
      </c>
      <c r="B195" s="5">
        <v>84.825344579999992</v>
      </c>
      <c r="C195" s="5">
        <v>10838.688</v>
      </c>
      <c r="D195" s="6">
        <v>203.2</v>
      </c>
      <c r="E195" s="6">
        <v>152.39999999999998</v>
      </c>
      <c r="F195" s="5">
        <v>15.875</v>
      </c>
      <c r="G195" s="5">
        <f t="shared" si="13"/>
        <v>1</v>
      </c>
      <c r="H195" s="6" t="str">
        <f t="shared" si="14"/>
        <v>LLBB</v>
      </c>
      <c r="I195" s="5">
        <v>63.5</v>
      </c>
      <c r="J195" s="5">
        <f t="shared" si="15"/>
        <v>0</v>
      </c>
      <c r="K195" s="5">
        <v>1.27</v>
      </c>
      <c r="L195" s="5">
        <v>44952993.964799993</v>
      </c>
      <c r="M195" s="5">
        <v>35.799999999999997</v>
      </c>
      <c r="N195" s="5">
        <v>19.7</v>
      </c>
      <c r="O195" s="5">
        <v>64.515999999999991</v>
      </c>
      <c r="P195" s="5">
        <v>42039373.985599995</v>
      </c>
      <c r="Q195" s="5">
        <v>468670.03039999999</v>
      </c>
      <c r="R195" s="5">
        <v>267109.14319999999</v>
      </c>
      <c r="S195" s="5">
        <v>62.230000000000004</v>
      </c>
      <c r="T195" s="5">
        <f t="shared" si="16"/>
        <v>1</v>
      </c>
      <c r="U195" s="5">
        <f t="shared" si="17"/>
        <v>1</v>
      </c>
      <c r="V195" s="5">
        <f t="shared" si="18"/>
        <v>1</v>
      </c>
      <c r="W195" s="5">
        <v>105.664</v>
      </c>
      <c r="X195" s="5">
        <v>0.72199999999999998</v>
      </c>
    </row>
    <row r="196" spans="1:24" x14ac:dyDescent="0.25">
      <c r="A196" s="5" t="s">
        <v>520</v>
      </c>
      <c r="B196" s="5">
        <v>84.825344579999992</v>
      </c>
      <c r="C196" s="5">
        <v>10838.688</v>
      </c>
      <c r="D196" s="6">
        <v>203.2</v>
      </c>
      <c r="E196" s="6">
        <v>152.39999999999998</v>
      </c>
      <c r="F196" s="5">
        <v>15.875</v>
      </c>
      <c r="G196" s="5">
        <f t="shared" ref="G196:G259" si="19">G195</f>
        <v>1</v>
      </c>
      <c r="H196" s="6" t="str">
        <f t="shared" ref="H196:H259" si="20">H195</f>
        <v>LLBB</v>
      </c>
      <c r="I196" s="5">
        <v>63.5</v>
      </c>
      <c r="J196" s="5">
        <f t="shared" ref="J196:J259" si="21">J195</f>
        <v>0</v>
      </c>
      <c r="K196" s="5">
        <v>1.27</v>
      </c>
      <c r="L196" s="5">
        <v>44952993.964799993</v>
      </c>
      <c r="M196" s="5">
        <v>35.799999999999997</v>
      </c>
      <c r="N196" s="5">
        <v>19.7</v>
      </c>
      <c r="O196" s="5">
        <v>64.515999999999991</v>
      </c>
      <c r="P196" s="5">
        <v>47034151.092799999</v>
      </c>
      <c r="Q196" s="5">
        <v>519469.92879999994</v>
      </c>
      <c r="R196" s="5">
        <v>290051.03279999999</v>
      </c>
      <c r="S196" s="5">
        <v>65.785999999999987</v>
      </c>
      <c r="T196" s="5">
        <f t="shared" ref="T196:T259" si="22">T195</f>
        <v>1</v>
      </c>
      <c r="U196" s="5">
        <f t="shared" ref="U196:U259" si="23">U195</f>
        <v>1</v>
      </c>
      <c r="V196" s="5">
        <f t="shared" ref="V196:V259" si="24">V195</f>
        <v>1</v>
      </c>
      <c r="W196" s="5">
        <v>107.696</v>
      </c>
      <c r="X196" s="5">
        <v>0.73199999999999998</v>
      </c>
    </row>
    <row r="197" spans="1:24" x14ac:dyDescent="0.25">
      <c r="A197" s="5" t="s">
        <v>521</v>
      </c>
      <c r="B197" s="5">
        <v>76.491626515999997</v>
      </c>
      <c r="C197" s="5">
        <v>9806.4319999999989</v>
      </c>
      <c r="D197" s="6">
        <v>203.2</v>
      </c>
      <c r="E197" s="6">
        <v>152.39999999999998</v>
      </c>
      <c r="F197" s="5">
        <v>14.300199999999998</v>
      </c>
      <c r="G197" s="5">
        <f t="shared" si="19"/>
        <v>1</v>
      </c>
      <c r="H197" s="6" t="str">
        <f t="shared" si="20"/>
        <v>LLBB</v>
      </c>
      <c r="I197" s="5">
        <v>62.991999999999997</v>
      </c>
      <c r="J197" s="5">
        <f t="shared" si="21"/>
        <v>0</v>
      </c>
      <c r="K197" s="5">
        <v>1.24</v>
      </c>
      <c r="L197" s="5">
        <v>41123664.849279992</v>
      </c>
      <c r="M197" s="5">
        <v>32.4</v>
      </c>
      <c r="N197" s="5">
        <v>17.899999999999999</v>
      </c>
      <c r="O197" s="5">
        <v>64.77</v>
      </c>
      <c r="P197" s="5">
        <v>34047730.614079997</v>
      </c>
      <c r="Q197" s="5">
        <v>371986.35279999994</v>
      </c>
      <c r="R197" s="5">
        <v>222864.07039999997</v>
      </c>
      <c r="S197" s="5">
        <v>58.92799999999999</v>
      </c>
      <c r="T197" s="5">
        <f t="shared" si="22"/>
        <v>1</v>
      </c>
      <c r="U197" s="5">
        <f t="shared" si="23"/>
        <v>1</v>
      </c>
      <c r="V197" s="5">
        <f t="shared" si="24"/>
        <v>1</v>
      </c>
      <c r="W197" s="5">
        <v>103.886</v>
      </c>
      <c r="X197" s="5">
        <v>0.71</v>
      </c>
    </row>
    <row r="198" spans="1:24" x14ac:dyDescent="0.25">
      <c r="A198" s="5" t="s">
        <v>522</v>
      </c>
      <c r="B198" s="5">
        <v>76.491626515999997</v>
      </c>
      <c r="C198" s="5">
        <v>9806.4319999999989</v>
      </c>
      <c r="D198" s="6">
        <v>203.2</v>
      </c>
      <c r="E198" s="6">
        <v>152.39999999999998</v>
      </c>
      <c r="F198" s="5">
        <v>14.300199999999998</v>
      </c>
      <c r="G198" s="5">
        <f t="shared" si="19"/>
        <v>1</v>
      </c>
      <c r="H198" s="6" t="str">
        <f t="shared" si="20"/>
        <v>LLBB</v>
      </c>
      <c r="I198" s="5">
        <v>62.991999999999997</v>
      </c>
      <c r="J198" s="5">
        <f t="shared" si="21"/>
        <v>0</v>
      </c>
      <c r="K198" s="5">
        <v>1.24</v>
      </c>
      <c r="L198" s="5">
        <v>41123664.849279992</v>
      </c>
      <c r="M198" s="5">
        <v>32.4</v>
      </c>
      <c r="N198" s="5">
        <v>17.899999999999999</v>
      </c>
      <c r="O198" s="5">
        <v>64.77</v>
      </c>
      <c r="P198" s="5">
        <v>37668944.016799994</v>
      </c>
      <c r="Q198" s="5">
        <v>417870.13199999998</v>
      </c>
      <c r="R198" s="5">
        <v>239251.13439999998</v>
      </c>
      <c r="S198" s="5">
        <v>61.975999999999992</v>
      </c>
      <c r="T198" s="5">
        <f t="shared" si="22"/>
        <v>1</v>
      </c>
      <c r="U198" s="5">
        <f t="shared" si="23"/>
        <v>1</v>
      </c>
      <c r="V198" s="5">
        <f t="shared" si="24"/>
        <v>1</v>
      </c>
      <c r="W198" s="5">
        <v>105.664</v>
      </c>
      <c r="X198" s="5">
        <v>0.72</v>
      </c>
    </row>
    <row r="199" spans="1:24" x14ac:dyDescent="0.25">
      <c r="A199" s="5" t="s">
        <v>523</v>
      </c>
      <c r="B199" s="5">
        <v>76.491626515999997</v>
      </c>
      <c r="C199" s="5">
        <v>9806.4319999999989</v>
      </c>
      <c r="D199" s="6">
        <v>203.2</v>
      </c>
      <c r="E199" s="6">
        <v>152.39999999999998</v>
      </c>
      <c r="F199" s="5">
        <v>14.300199999999998</v>
      </c>
      <c r="G199" s="5">
        <f t="shared" si="19"/>
        <v>1</v>
      </c>
      <c r="H199" s="6" t="str">
        <f t="shared" si="20"/>
        <v>LLBB</v>
      </c>
      <c r="I199" s="5">
        <v>62.991999999999997</v>
      </c>
      <c r="J199" s="5">
        <f t="shared" si="21"/>
        <v>0</v>
      </c>
      <c r="K199" s="5">
        <v>1.24</v>
      </c>
      <c r="L199" s="5">
        <v>41123664.849279992</v>
      </c>
      <c r="M199" s="5">
        <v>32.4</v>
      </c>
      <c r="N199" s="5">
        <v>17.899999999999999</v>
      </c>
      <c r="O199" s="5">
        <v>64.77</v>
      </c>
      <c r="P199" s="5">
        <v>42039373.985599995</v>
      </c>
      <c r="Q199" s="5">
        <v>465392.61759999994</v>
      </c>
      <c r="R199" s="5">
        <v>258915.61119999998</v>
      </c>
      <c r="S199" s="5">
        <v>65.531999999999996</v>
      </c>
      <c r="T199" s="5">
        <f t="shared" si="22"/>
        <v>1</v>
      </c>
      <c r="U199" s="5">
        <f t="shared" si="23"/>
        <v>1</v>
      </c>
      <c r="V199" s="5">
        <f t="shared" si="24"/>
        <v>1</v>
      </c>
      <c r="W199" s="5">
        <v>107.696</v>
      </c>
      <c r="X199" s="5">
        <v>0.73099999999999998</v>
      </c>
    </row>
    <row r="200" spans="1:24" x14ac:dyDescent="0.25">
      <c r="A200" s="5" t="s">
        <v>524</v>
      </c>
      <c r="B200" s="5">
        <v>68.455541240000002</v>
      </c>
      <c r="C200" s="5">
        <v>8774.1759999999995</v>
      </c>
      <c r="D200" s="6">
        <v>203.2</v>
      </c>
      <c r="E200" s="6">
        <v>152.39999999999998</v>
      </c>
      <c r="F200" s="5">
        <v>12.7</v>
      </c>
      <c r="G200" s="5">
        <f t="shared" si="19"/>
        <v>1</v>
      </c>
      <c r="H200" s="6" t="str">
        <f t="shared" si="20"/>
        <v>LLBB</v>
      </c>
      <c r="I200" s="5">
        <v>62.483999999999995</v>
      </c>
      <c r="J200" s="5">
        <f t="shared" si="21"/>
        <v>0</v>
      </c>
      <c r="K200" s="5">
        <v>1.2</v>
      </c>
      <c r="L200" s="5">
        <v>36961350.593279995</v>
      </c>
      <c r="M200" s="5">
        <v>29.2</v>
      </c>
      <c r="N200" s="5">
        <v>16</v>
      </c>
      <c r="O200" s="5">
        <v>64.77</v>
      </c>
      <c r="P200" s="5">
        <v>30218401.498559996</v>
      </c>
      <c r="Q200" s="5">
        <v>326102.57359999995</v>
      </c>
      <c r="R200" s="5">
        <v>198283.47439999998</v>
      </c>
      <c r="S200" s="5">
        <v>58.673999999999999</v>
      </c>
      <c r="T200" s="5">
        <f t="shared" si="22"/>
        <v>1</v>
      </c>
      <c r="U200" s="5">
        <f t="shared" si="23"/>
        <v>1</v>
      </c>
      <c r="V200" s="5">
        <f t="shared" si="24"/>
        <v>1</v>
      </c>
      <c r="W200" s="5">
        <v>103.886</v>
      </c>
      <c r="X200" s="5">
        <v>0.70899999999999996</v>
      </c>
    </row>
    <row r="201" spans="1:24" x14ac:dyDescent="0.25">
      <c r="A201" s="5" t="s">
        <v>525</v>
      </c>
      <c r="B201" s="5">
        <v>68.455541240000002</v>
      </c>
      <c r="C201" s="5">
        <v>8774.1759999999995</v>
      </c>
      <c r="D201" s="6">
        <v>203.2</v>
      </c>
      <c r="E201" s="6">
        <v>152.39999999999998</v>
      </c>
      <c r="F201" s="5">
        <v>12.7</v>
      </c>
      <c r="G201" s="5">
        <f t="shared" si="19"/>
        <v>1</v>
      </c>
      <c r="H201" s="6" t="str">
        <f t="shared" si="20"/>
        <v>LLBB</v>
      </c>
      <c r="I201" s="5">
        <v>62.483999999999995</v>
      </c>
      <c r="J201" s="5">
        <f t="shared" si="21"/>
        <v>0</v>
      </c>
      <c r="K201" s="5">
        <v>1.2</v>
      </c>
      <c r="L201" s="5">
        <v>36961350.593279995</v>
      </c>
      <c r="M201" s="5">
        <v>29.2</v>
      </c>
      <c r="N201" s="5">
        <v>16</v>
      </c>
      <c r="O201" s="5">
        <v>64.77</v>
      </c>
      <c r="P201" s="5">
        <v>33423383.475679997</v>
      </c>
      <c r="Q201" s="5">
        <v>367070.23359999992</v>
      </c>
      <c r="R201" s="5">
        <v>213031.83199999999</v>
      </c>
      <c r="S201" s="5">
        <v>61.722000000000001</v>
      </c>
      <c r="T201" s="5">
        <f t="shared" si="22"/>
        <v>1</v>
      </c>
      <c r="U201" s="5">
        <f t="shared" si="23"/>
        <v>1</v>
      </c>
      <c r="V201" s="5">
        <f t="shared" si="24"/>
        <v>1</v>
      </c>
      <c r="W201" s="5">
        <v>105.664</v>
      </c>
      <c r="X201" s="5">
        <v>0.71899999999999997</v>
      </c>
    </row>
    <row r="202" spans="1:24" x14ac:dyDescent="0.25">
      <c r="A202" s="5" t="s">
        <v>526</v>
      </c>
      <c r="B202" s="5">
        <v>68.455541240000002</v>
      </c>
      <c r="C202" s="5">
        <v>8774.1759999999995</v>
      </c>
      <c r="D202" s="6">
        <v>203.2</v>
      </c>
      <c r="E202" s="6">
        <v>152.39999999999998</v>
      </c>
      <c r="F202" s="5">
        <v>12.7</v>
      </c>
      <c r="G202" s="5">
        <f t="shared" si="19"/>
        <v>1</v>
      </c>
      <c r="H202" s="6" t="str">
        <f t="shared" si="20"/>
        <v>LLBB</v>
      </c>
      <c r="I202" s="5">
        <v>62.483999999999995</v>
      </c>
      <c r="J202" s="5">
        <f t="shared" si="21"/>
        <v>0</v>
      </c>
      <c r="K202" s="5">
        <v>1.2</v>
      </c>
      <c r="L202" s="5">
        <v>36961350.593279995</v>
      </c>
      <c r="M202" s="5">
        <v>29.2</v>
      </c>
      <c r="N202" s="5">
        <v>16</v>
      </c>
      <c r="O202" s="5">
        <v>64.77</v>
      </c>
      <c r="P202" s="5">
        <v>37086220.020959996</v>
      </c>
      <c r="Q202" s="5">
        <v>409676.6</v>
      </c>
      <c r="R202" s="5">
        <v>229418.89599999998</v>
      </c>
      <c r="S202" s="5">
        <v>65.024000000000001</v>
      </c>
      <c r="T202" s="5">
        <f t="shared" si="22"/>
        <v>1</v>
      </c>
      <c r="U202" s="5">
        <f t="shared" si="23"/>
        <v>1</v>
      </c>
      <c r="V202" s="5">
        <f t="shared" si="24"/>
        <v>1</v>
      </c>
      <c r="W202" s="5">
        <v>107.696</v>
      </c>
      <c r="X202" s="5">
        <v>0.72899999999999998</v>
      </c>
    </row>
    <row r="203" spans="1:24" x14ac:dyDescent="0.25">
      <c r="A203" s="5" t="s">
        <v>527</v>
      </c>
      <c r="B203" s="5">
        <v>60.121823175999999</v>
      </c>
      <c r="C203" s="5">
        <v>7741.92</v>
      </c>
      <c r="D203" s="6">
        <v>203.2</v>
      </c>
      <c r="E203" s="6">
        <v>152.39999999999998</v>
      </c>
      <c r="F203" s="5">
        <v>11.1252</v>
      </c>
      <c r="G203" s="5">
        <f t="shared" si="19"/>
        <v>1</v>
      </c>
      <c r="H203" s="6" t="str">
        <f t="shared" si="20"/>
        <v>LLBB</v>
      </c>
      <c r="I203" s="5">
        <v>61.722000000000001</v>
      </c>
      <c r="J203" s="5">
        <f t="shared" si="21"/>
        <v>0</v>
      </c>
      <c r="K203" s="5">
        <v>1.1499999999999999</v>
      </c>
      <c r="L203" s="5">
        <v>32715790.052159995</v>
      </c>
      <c r="M203" s="5">
        <v>25.8</v>
      </c>
      <c r="N203" s="5">
        <v>14.1</v>
      </c>
      <c r="O203" s="5">
        <v>65.024000000000001</v>
      </c>
      <c r="P203" s="5">
        <v>26430695.525599997</v>
      </c>
      <c r="Q203" s="5">
        <v>283496.2072</v>
      </c>
      <c r="R203" s="5">
        <v>173702.87839999999</v>
      </c>
      <c r="S203" s="5">
        <v>58.419999999999995</v>
      </c>
      <c r="T203" s="5">
        <f t="shared" si="22"/>
        <v>1</v>
      </c>
      <c r="U203" s="5">
        <f t="shared" si="23"/>
        <v>1</v>
      </c>
      <c r="V203" s="5">
        <f t="shared" si="24"/>
        <v>1</v>
      </c>
      <c r="W203" s="5">
        <v>103.886</v>
      </c>
      <c r="X203" s="5">
        <v>0.70799999999999996</v>
      </c>
    </row>
    <row r="204" spans="1:24" x14ac:dyDescent="0.25">
      <c r="A204" s="5" t="s">
        <v>528</v>
      </c>
      <c r="B204" s="5">
        <v>60.121823175999999</v>
      </c>
      <c r="C204" s="5">
        <v>7741.92</v>
      </c>
      <c r="D204" s="6">
        <v>203.2</v>
      </c>
      <c r="E204" s="6">
        <v>152.39999999999998</v>
      </c>
      <c r="F204" s="5">
        <v>11.1252</v>
      </c>
      <c r="G204" s="5">
        <f t="shared" si="19"/>
        <v>1</v>
      </c>
      <c r="H204" s="6" t="str">
        <f t="shared" si="20"/>
        <v>LLBB</v>
      </c>
      <c r="I204" s="5">
        <v>61.722000000000001</v>
      </c>
      <c r="J204" s="5">
        <f t="shared" si="21"/>
        <v>0</v>
      </c>
      <c r="K204" s="5">
        <v>1.1499999999999999</v>
      </c>
      <c r="L204" s="5">
        <v>32715790.052159995</v>
      </c>
      <c r="M204" s="5">
        <v>25.8</v>
      </c>
      <c r="N204" s="5">
        <v>14.1</v>
      </c>
      <c r="O204" s="5">
        <v>65.024000000000001</v>
      </c>
      <c r="P204" s="5">
        <v>29261069.219679996</v>
      </c>
      <c r="Q204" s="5">
        <v>319547.74799999996</v>
      </c>
      <c r="R204" s="5">
        <v>186812.52959999998</v>
      </c>
      <c r="S204" s="5">
        <v>61.467999999999996</v>
      </c>
      <c r="T204" s="5">
        <f t="shared" si="22"/>
        <v>1</v>
      </c>
      <c r="U204" s="5">
        <f t="shared" si="23"/>
        <v>1</v>
      </c>
      <c r="V204" s="5">
        <f t="shared" si="24"/>
        <v>1</v>
      </c>
      <c r="W204" s="5">
        <v>105.664</v>
      </c>
      <c r="X204" s="5">
        <v>0.71799999999999997</v>
      </c>
    </row>
    <row r="205" spans="1:24" x14ac:dyDescent="0.25">
      <c r="A205" s="5" t="s">
        <v>529</v>
      </c>
      <c r="B205" s="5">
        <v>60.121823175999999</v>
      </c>
      <c r="C205" s="5">
        <v>7741.92</v>
      </c>
      <c r="D205" s="6">
        <v>203.2</v>
      </c>
      <c r="E205" s="6">
        <v>152.39999999999998</v>
      </c>
      <c r="F205" s="5">
        <v>11.1252</v>
      </c>
      <c r="G205" s="5">
        <f t="shared" si="19"/>
        <v>1</v>
      </c>
      <c r="H205" s="6" t="str">
        <f t="shared" si="20"/>
        <v>LLBB</v>
      </c>
      <c r="I205" s="5">
        <v>61.722000000000001</v>
      </c>
      <c r="J205" s="5">
        <f t="shared" si="21"/>
        <v>0</v>
      </c>
      <c r="K205" s="5">
        <v>1.1499999999999999</v>
      </c>
      <c r="L205" s="5">
        <v>32715790.052159995</v>
      </c>
      <c r="M205" s="5">
        <v>25.8</v>
      </c>
      <c r="N205" s="5">
        <v>14.1</v>
      </c>
      <c r="O205" s="5">
        <v>65.024000000000001</v>
      </c>
      <c r="P205" s="5">
        <v>32466051.196799997</v>
      </c>
      <c r="Q205" s="5">
        <v>355599.28879999998</v>
      </c>
      <c r="R205" s="5">
        <v>199922.18079999997</v>
      </c>
      <c r="S205" s="5">
        <v>64.77</v>
      </c>
      <c r="T205" s="5">
        <f t="shared" si="22"/>
        <v>1</v>
      </c>
      <c r="U205" s="5">
        <f t="shared" si="23"/>
        <v>1</v>
      </c>
      <c r="V205" s="5">
        <f t="shared" si="24"/>
        <v>1</v>
      </c>
      <c r="W205" s="5">
        <v>107.696</v>
      </c>
      <c r="X205" s="5">
        <v>0.72799999999999998</v>
      </c>
    </row>
    <row r="206" spans="1:24" x14ac:dyDescent="0.25">
      <c r="A206" s="5" t="s">
        <v>530</v>
      </c>
      <c r="B206" s="5">
        <v>111.31466271199999</v>
      </c>
      <c r="C206" s="5">
        <v>14322.552</v>
      </c>
      <c r="D206" s="6">
        <v>203.2</v>
      </c>
      <c r="E206" s="6">
        <v>101.6</v>
      </c>
      <c r="F206" s="5">
        <v>25.4</v>
      </c>
      <c r="G206" s="5">
        <f t="shared" si="19"/>
        <v>1</v>
      </c>
      <c r="H206" s="6" t="str">
        <f t="shared" si="20"/>
        <v>LLBB</v>
      </c>
      <c r="I206" s="5">
        <v>76.961999999999989</v>
      </c>
      <c r="J206" s="5">
        <f t="shared" si="21"/>
        <v>0</v>
      </c>
      <c r="K206" s="5">
        <v>2.4500000000000002</v>
      </c>
      <c r="L206" s="5">
        <v>57856168.158399992</v>
      </c>
      <c r="M206" s="5">
        <v>48.6</v>
      </c>
      <c r="N206" s="5">
        <v>28</v>
      </c>
      <c r="O206" s="5">
        <v>63.753999999999991</v>
      </c>
      <c r="P206" s="5">
        <v>19687746.430879995</v>
      </c>
      <c r="Q206" s="5">
        <v>378541.17839999998</v>
      </c>
      <c r="R206" s="5">
        <v>193367.35519999999</v>
      </c>
      <c r="S206" s="5">
        <v>37.083999999999996</v>
      </c>
      <c r="T206" s="5">
        <f t="shared" si="22"/>
        <v>1</v>
      </c>
      <c r="U206" s="5">
        <f t="shared" si="23"/>
        <v>1</v>
      </c>
      <c r="V206" s="5">
        <f t="shared" si="24"/>
        <v>1</v>
      </c>
      <c r="W206" s="5">
        <v>98.043999999999997</v>
      </c>
      <c r="X206" s="5">
        <v>0.56799999999999995</v>
      </c>
    </row>
    <row r="207" spans="1:24" x14ac:dyDescent="0.25">
      <c r="A207" s="5" t="s">
        <v>531</v>
      </c>
      <c r="B207" s="5">
        <v>111.31466271199999</v>
      </c>
      <c r="C207" s="5">
        <v>14322.552</v>
      </c>
      <c r="D207" s="6">
        <v>203.2</v>
      </c>
      <c r="E207" s="6">
        <v>101.6</v>
      </c>
      <c r="F207" s="5">
        <v>25.4</v>
      </c>
      <c r="G207" s="5">
        <f t="shared" si="19"/>
        <v>1</v>
      </c>
      <c r="H207" s="6" t="str">
        <f t="shared" si="20"/>
        <v>LLBB</v>
      </c>
      <c r="I207" s="5">
        <v>76.961999999999989</v>
      </c>
      <c r="J207" s="5">
        <f t="shared" si="21"/>
        <v>0</v>
      </c>
      <c r="K207" s="5">
        <v>2.4500000000000002</v>
      </c>
      <c r="L207" s="5">
        <v>57856168.158399992</v>
      </c>
      <c r="M207" s="5">
        <v>48.6</v>
      </c>
      <c r="N207" s="5">
        <v>28</v>
      </c>
      <c r="O207" s="5">
        <v>63.753999999999991</v>
      </c>
      <c r="P207" s="5">
        <v>23641944.974079996</v>
      </c>
      <c r="Q207" s="5">
        <v>447366.84719999996</v>
      </c>
      <c r="R207" s="5">
        <v>222864.07039999997</v>
      </c>
      <c r="S207" s="5">
        <v>40.64</v>
      </c>
      <c r="T207" s="5">
        <f t="shared" si="22"/>
        <v>1</v>
      </c>
      <c r="U207" s="5">
        <f t="shared" si="23"/>
        <v>1</v>
      </c>
      <c r="V207" s="5">
        <f t="shared" si="24"/>
        <v>1</v>
      </c>
      <c r="W207" s="5">
        <v>99.313999999999993</v>
      </c>
      <c r="X207" s="5">
        <v>0.57999999999999996</v>
      </c>
    </row>
    <row r="208" spans="1:24" x14ac:dyDescent="0.25">
      <c r="A208" s="5" t="s">
        <v>532</v>
      </c>
      <c r="B208" s="5">
        <v>111.31466271199999</v>
      </c>
      <c r="C208" s="5">
        <v>14322.552</v>
      </c>
      <c r="D208" s="6">
        <v>203.2</v>
      </c>
      <c r="E208" s="6">
        <v>101.6</v>
      </c>
      <c r="F208" s="5">
        <v>25.4</v>
      </c>
      <c r="G208" s="5">
        <f t="shared" si="19"/>
        <v>1</v>
      </c>
      <c r="H208" s="6" t="str">
        <f t="shared" si="20"/>
        <v>LLBB</v>
      </c>
      <c r="I208" s="5">
        <v>76.961999999999989</v>
      </c>
      <c r="J208" s="5">
        <f t="shared" si="21"/>
        <v>0</v>
      </c>
      <c r="K208" s="5">
        <v>2.4500000000000002</v>
      </c>
      <c r="L208" s="5">
        <v>57856168.158399992</v>
      </c>
      <c r="M208" s="5">
        <v>48.6</v>
      </c>
      <c r="N208" s="5">
        <v>28</v>
      </c>
      <c r="O208" s="5">
        <v>63.753999999999991</v>
      </c>
      <c r="P208" s="5">
        <v>28303736.940799996</v>
      </c>
      <c r="Q208" s="5">
        <v>514553.80959999992</v>
      </c>
      <c r="R208" s="5">
        <v>253999.49199999997</v>
      </c>
      <c r="S208" s="5">
        <v>44.449999999999996</v>
      </c>
      <c r="T208" s="5">
        <f t="shared" si="22"/>
        <v>1</v>
      </c>
      <c r="U208" s="5">
        <f t="shared" si="23"/>
        <v>1</v>
      </c>
      <c r="V208" s="5">
        <f t="shared" si="24"/>
        <v>1</v>
      </c>
      <c r="W208" s="5">
        <v>100.83799999999999</v>
      </c>
      <c r="X208" s="5">
        <v>0.59399999999999997</v>
      </c>
    </row>
    <row r="209" spans="1:24" x14ac:dyDescent="0.25">
      <c r="A209" s="5" t="s">
        <v>533</v>
      </c>
      <c r="B209" s="5">
        <v>98.516452827999998</v>
      </c>
      <c r="C209" s="5">
        <v>12645.136</v>
      </c>
      <c r="D209" s="6">
        <v>203.2</v>
      </c>
      <c r="E209" s="6">
        <v>101.6</v>
      </c>
      <c r="F209" s="5">
        <v>22.224999999999998</v>
      </c>
      <c r="G209" s="5">
        <f t="shared" si="19"/>
        <v>1</v>
      </c>
      <c r="H209" s="6" t="str">
        <f t="shared" si="20"/>
        <v>LLBB</v>
      </c>
      <c r="I209" s="5">
        <v>75.945999999999998</v>
      </c>
      <c r="J209" s="5">
        <f t="shared" si="21"/>
        <v>0</v>
      </c>
      <c r="K209" s="5">
        <v>2.41</v>
      </c>
      <c r="L209" s="5">
        <v>52028928.199999996</v>
      </c>
      <c r="M209" s="5">
        <v>43.4</v>
      </c>
      <c r="N209" s="5">
        <v>25</v>
      </c>
      <c r="O209" s="5">
        <v>64.261999999999986</v>
      </c>
      <c r="P209" s="5">
        <v>16898995.879359998</v>
      </c>
      <c r="Q209" s="5">
        <v>319547.74799999996</v>
      </c>
      <c r="R209" s="5">
        <v>167148.05279999998</v>
      </c>
      <c r="S209" s="5">
        <v>36.575999999999993</v>
      </c>
      <c r="T209" s="5">
        <f t="shared" si="22"/>
        <v>1</v>
      </c>
      <c r="U209" s="5">
        <f t="shared" si="23"/>
        <v>1</v>
      </c>
      <c r="V209" s="5">
        <f t="shared" si="24"/>
        <v>1</v>
      </c>
      <c r="W209" s="5">
        <v>98.298000000000002</v>
      </c>
      <c r="X209" s="5">
        <v>0.56599999999999995</v>
      </c>
    </row>
    <row r="210" spans="1:24" x14ac:dyDescent="0.25">
      <c r="A210" s="5" t="s">
        <v>534</v>
      </c>
      <c r="B210" s="5">
        <v>98.516452827999998</v>
      </c>
      <c r="C210" s="5">
        <v>12645.136</v>
      </c>
      <c r="D210" s="6">
        <v>203.2</v>
      </c>
      <c r="E210" s="6">
        <v>101.6</v>
      </c>
      <c r="F210" s="5">
        <v>22.224999999999998</v>
      </c>
      <c r="G210" s="5">
        <f t="shared" si="19"/>
        <v>1</v>
      </c>
      <c r="H210" s="6" t="str">
        <f t="shared" si="20"/>
        <v>LLBB</v>
      </c>
      <c r="I210" s="5">
        <v>75.945999999999998</v>
      </c>
      <c r="J210" s="5">
        <f t="shared" si="21"/>
        <v>0</v>
      </c>
      <c r="K210" s="5">
        <v>2.41</v>
      </c>
      <c r="L210" s="5">
        <v>52028928.199999996</v>
      </c>
      <c r="M210" s="5">
        <v>43.4</v>
      </c>
      <c r="N210" s="5">
        <v>25</v>
      </c>
      <c r="O210" s="5">
        <v>64.261999999999986</v>
      </c>
      <c r="P210" s="5">
        <v>20103977.856479999</v>
      </c>
      <c r="Q210" s="5">
        <v>380179.88479999994</v>
      </c>
      <c r="R210" s="5">
        <v>188451.23599999998</v>
      </c>
      <c r="S210" s="5">
        <v>39.878</v>
      </c>
      <c r="T210" s="5">
        <f t="shared" si="22"/>
        <v>1</v>
      </c>
      <c r="U210" s="5">
        <f t="shared" si="23"/>
        <v>1</v>
      </c>
      <c r="V210" s="5">
        <f t="shared" si="24"/>
        <v>1</v>
      </c>
      <c r="W210" s="5">
        <v>99.567999999999998</v>
      </c>
      <c r="X210" s="5">
        <v>0.57699999999999996</v>
      </c>
    </row>
    <row r="211" spans="1:24" x14ac:dyDescent="0.25">
      <c r="A211" s="5" t="s">
        <v>535</v>
      </c>
      <c r="B211" s="5">
        <v>98.516452827999998</v>
      </c>
      <c r="C211" s="5">
        <v>12645.136</v>
      </c>
      <c r="D211" s="6">
        <v>203.2</v>
      </c>
      <c r="E211" s="6">
        <v>101.6</v>
      </c>
      <c r="F211" s="5">
        <v>22.224999999999998</v>
      </c>
      <c r="G211" s="5">
        <f t="shared" si="19"/>
        <v>1</v>
      </c>
      <c r="H211" s="6" t="str">
        <f t="shared" si="20"/>
        <v>LLBB</v>
      </c>
      <c r="I211" s="5">
        <v>75.945999999999998</v>
      </c>
      <c r="J211" s="5">
        <f t="shared" si="21"/>
        <v>0</v>
      </c>
      <c r="K211" s="5">
        <v>2.41</v>
      </c>
      <c r="L211" s="5">
        <v>52028928.199999996</v>
      </c>
      <c r="M211" s="5">
        <v>43.4</v>
      </c>
      <c r="N211" s="5">
        <v>25</v>
      </c>
      <c r="O211" s="5">
        <v>64.261999999999986</v>
      </c>
      <c r="P211" s="5">
        <v>24141422.684799999</v>
      </c>
      <c r="Q211" s="5">
        <v>440812.02159999992</v>
      </c>
      <c r="R211" s="5">
        <v>217947.95119999998</v>
      </c>
      <c r="S211" s="5">
        <v>43.687999999999995</v>
      </c>
      <c r="T211" s="5">
        <f t="shared" si="22"/>
        <v>1</v>
      </c>
      <c r="U211" s="5">
        <f t="shared" si="23"/>
        <v>1</v>
      </c>
      <c r="V211" s="5">
        <f t="shared" si="24"/>
        <v>1</v>
      </c>
      <c r="W211" s="5">
        <v>101.092</v>
      </c>
      <c r="X211" s="5">
        <v>0.59</v>
      </c>
    </row>
    <row r="212" spans="1:24" x14ac:dyDescent="0.25">
      <c r="A212" s="5" t="s">
        <v>536</v>
      </c>
      <c r="B212" s="5">
        <v>85.420610155999995</v>
      </c>
      <c r="C212" s="5">
        <v>10967.72</v>
      </c>
      <c r="D212" s="6">
        <v>203.2</v>
      </c>
      <c r="E212" s="6">
        <v>101.6</v>
      </c>
      <c r="F212" s="5">
        <v>19.049999999999997</v>
      </c>
      <c r="G212" s="5">
        <f t="shared" si="19"/>
        <v>1</v>
      </c>
      <c r="H212" s="6" t="str">
        <f t="shared" si="20"/>
        <v>LLBB</v>
      </c>
      <c r="I212" s="5">
        <v>74.675999999999988</v>
      </c>
      <c r="J212" s="5">
        <f t="shared" si="21"/>
        <v>0</v>
      </c>
      <c r="K212" s="5">
        <v>2.34</v>
      </c>
      <c r="L212" s="5">
        <v>45785456.815999992</v>
      </c>
      <c r="M212" s="5">
        <v>37.799999999999997</v>
      </c>
      <c r="N212" s="5">
        <v>21.8</v>
      </c>
      <c r="O212" s="5">
        <v>64.77</v>
      </c>
      <c r="P212" s="5">
        <v>14276737.898079997</v>
      </c>
      <c r="Q212" s="5">
        <v>263831.7304</v>
      </c>
      <c r="R212" s="5">
        <v>140437.13847999999</v>
      </c>
      <c r="S212" s="5">
        <v>36.067999999999998</v>
      </c>
      <c r="T212" s="5">
        <f t="shared" si="22"/>
        <v>1</v>
      </c>
      <c r="U212" s="5">
        <f t="shared" si="23"/>
        <v>1</v>
      </c>
      <c r="V212" s="5">
        <f t="shared" si="24"/>
        <v>1</v>
      </c>
      <c r="W212" s="5">
        <v>98.551999999999992</v>
      </c>
      <c r="X212" s="5">
        <v>0.56399999999999995</v>
      </c>
    </row>
    <row r="213" spans="1:24" x14ac:dyDescent="0.25">
      <c r="A213" s="5" t="s">
        <v>537</v>
      </c>
      <c r="B213" s="5">
        <v>85.420610155999995</v>
      </c>
      <c r="C213" s="5">
        <v>10967.72</v>
      </c>
      <c r="D213" s="6">
        <v>203.2</v>
      </c>
      <c r="E213" s="6">
        <v>101.6</v>
      </c>
      <c r="F213" s="5">
        <v>19.049999999999997</v>
      </c>
      <c r="G213" s="5">
        <f t="shared" si="19"/>
        <v>1</v>
      </c>
      <c r="H213" s="6" t="str">
        <f t="shared" si="20"/>
        <v>LLBB</v>
      </c>
      <c r="I213" s="5">
        <v>74.675999999999988</v>
      </c>
      <c r="J213" s="5">
        <f t="shared" si="21"/>
        <v>0</v>
      </c>
      <c r="K213" s="5">
        <v>2.34</v>
      </c>
      <c r="L213" s="5">
        <v>45785456.815999992</v>
      </c>
      <c r="M213" s="5">
        <v>37.799999999999997</v>
      </c>
      <c r="N213" s="5">
        <v>21.8</v>
      </c>
      <c r="O213" s="5">
        <v>64.77</v>
      </c>
      <c r="P213" s="5">
        <v>16982242.164479997</v>
      </c>
      <c r="Q213" s="5">
        <v>316270.33519999997</v>
      </c>
      <c r="R213" s="5">
        <v>159610.00336</v>
      </c>
      <c r="S213" s="5">
        <v>39.369999999999997</v>
      </c>
      <c r="T213" s="5">
        <f t="shared" si="22"/>
        <v>1</v>
      </c>
      <c r="U213" s="5">
        <f t="shared" si="23"/>
        <v>1</v>
      </c>
      <c r="V213" s="5">
        <f t="shared" si="24"/>
        <v>1</v>
      </c>
      <c r="W213" s="5">
        <v>99.822000000000003</v>
      </c>
      <c r="X213" s="5">
        <v>0.57499999999999996</v>
      </c>
    </row>
    <row r="214" spans="1:24" x14ac:dyDescent="0.25">
      <c r="A214" s="5" t="s">
        <v>538</v>
      </c>
      <c r="B214" s="5">
        <v>85.420610155999995</v>
      </c>
      <c r="C214" s="5">
        <v>10967.72</v>
      </c>
      <c r="D214" s="6">
        <v>203.2</v>
      </c>
      <c r="E214" s="6">
        <v>101.6</v>
      </c>
      <c r="F214" s="5">
        <v>19.049999999999997</v>
      </c>
      <c r="G214" s="5">
        <f t="shared" si="19"/>
        <v>1</v>
      </c>
      <c r="H214" s="6" t="str">
        <f t="shared" si="20"/>
        <v>LLBB</v>
      </c>
      <c r="I214" s="5">
        <v>74.675999999999988</v>
      </c>
      <c r="J214" s="5">
        <f t="shared" si="21"/>
        <v>0</v>
      </c>
      <c r="K214" s="5">
        <v>2.34</v>
      </c>
      <c r="L214" s="5">
        <v>45785456.815999992</v>
      </c>
      <c r="M214" s="5">
        <v>37.799999999999997</v>
      </c>
      <c r="N214" s="5">
        <v>21.8</v>
      </c>
      <c r="O214" s="5">
        <v>64.77</v>
      </c>
      <c r="P214" s="5">
        <v>20228847.284159999</v>
      </c>
      <c r="Q214" s="5">
        <v>368708.93999999994</v>
      </c>
      <c r="R214" s="5">
        <v>181896.41039999996</v>
      </c>
      <c r="S214" s="5">
        <v>42.925999999999995</v>
      </c>
      <c r="T214" s="5">
        <f t="shared" si="22"/>
        <v>1</v>
      </c>
      <c r="U214" s="5">
        <f t="shared" si="23"/>
        <v>1</v>
      </c>
      <c r="V214" s="5">
        <f t="shared" si="24"/>
        <v>1</v>
      </c>
      <c r="W214" s="5">
        <v>101.346</v>
      </c>
      <c r="X214" s="5">
        <v>0.58699999999999997</v>
      </c>
    </row>
    <row r="215" spans="1:24" x14ac:dyDescent="0.25">
      <c r="A215" s="5" t="s">
        <v>539</v>
      </c>
      <c r="B215" s="5">
        <v>72.02713469599999</v>
      </c>
      <c r="C215" s="5">
        <v>9225.7880000000005</v>
      </c>
      <c r="D215" s="6">
        <v>203.2</v>
      </c>
      <c r="E215" s="6">
        <v>101.6</v>
      </c>
      <c r="F215" s="5">
        <v>15.875</v>
      </c>
      <c r="G215" s="5">
        <f t="shared" si="19"/>
        <v>1</v>
      </c>
      <c r="H215" s="6" t="str">
        <f t="shared" si="20"/>
        <v>LLBB</v>
      </c>
      <c r="I215" s="5">
        <v>73.406000000000006</v>
      </c>
      <c r="J215" s="5">
        <f t="shared" si="21"/>
        <v>0</v>
      </c>
      <c r="K215" s="5">
        <v>2.27</v>
      </c>
      <c r="L215" s="5">
        <v>39125754.006399997</v>
      </c>
      <c r="M215" s="5">
        <v>32.200000000000003</v>
      </c>
      <c r="N215" s="5">
        <v>18.399999999999999</v>
      </c>
      <c r="O215" s="5">
        <v>65.024000000000001</v>
      </c>
      <c r="P215" s="5">
        <v>11487987.34656</v>
      </c>
      <c r="Q215" s="5">
        <v>211393.1256</v>
      </c>
      <c r="R215" s="5">
        <v>113070.74159999999</v>
      </c>
      <c r="S215" s="5">
        <v>35.305999999999997</v>
      </c>
      <c r="T215" s="5">
        <f t="shared" si="22"/>
        <v>1</v>
      </c>
      <c r="U215" s="5">
        <f t="shared" si="23"/>
        <v>1</v>
      </c>
      <c r="V215" s="5">
        <f t="shared" si="24"/>
        <v>1</v>
      </c>
      <c r="W215" s="5">
        <v>98.805999999999997</v>
      </c>
      <c r="X215" s="5">
        <v>0.56200000000000006</v>
      </c>
    </row>
    <row r="216" spans="1:24" x14ac:dyDescent="0.25">
      <c r="A216" s="5" t="s">
        <v>540</v>
      </c>
      <c r="B216" s="5">
        <v>72.02713469599999</v>
      </c>
      <c r="C216" s="5">
        <v>9225.7880000000005</v>
      </c>
      <c r="D216" s="6">
        <v>203.2</v>
      </c>
      <c r="E216" s="6">
        <v>101.6</v>
      </c>
      <c r="F216" s="5">
        <v>15.875</v>
      </c>
      <c r="G216" s="5">
        <f t="shared" si="19"/>
        <v>1</v>
      </c>
      <c r="H216" s="6" t="str">
        <f t="shared" si="20"/>
        <v>LLBB</v>
      </c>
      <c r="I216" s="5">
        <v>73.406000000000006</v>
      </c>
      <c r="J216" s="5">
        <f t="shared" si="21"/>
        <v>0</v>
      </c>
      <c r="K216" s="5">
        <v>2.27</v>
      </c>
      <c r="L216" s="5">
        <v>39125754.006399997</v>
      </c>
      <c r="M216" s="5">
        <v>32.200000000000003</v>
      </c>
      <c r="N216" s="5">
        <v>18.399999999999999</v>
      </c>
      <c r="O216" s="5">
        <v>65.024000000000001</v>
      </c>
      <c r="P216" s="5">
        <v>13735637.044799998</v>
      </c>
      <c r="Q216" s="5">
        <v>255638.19839999996</v>
      </c>
      <c r="R216" s="5">
        <v>129130.06431999999</v>
      </c>
      <c r="S216" s="5">
        <v>38.607999999999997</v>
      </c>
      <c r="T216" s="5">
        <f t="shared" si="22"/>
        <v>1</v>
      </c>
      <c r="U216" s="5">
        <f t="shared" si="23"/>
        <v>1</v>
      </c>
      <c r="V216" s="5">
        <f t="shared" si="24"/>
        <v>1</v>
      </c>
      <c r="W216" s="5">
        <v>100.07599999999999</v>
      </c>
      <c r="X216" s="5">
        <v>0.57299999999999995</v>
      </c>
    </row>
    <row r="217" spans="1:24" x14ac:dyDescent="0.25">
      <c r="A217" s="5" t="s">
        <v>541</v>
      </c>
      <c r="B217" s="5">
        <v>72.02713469599999</v>
      </c>
      <c r="C217" s="5">
        <v>9225.7880000000005</v>
      </c>
      <c r="D217" s="6">
        <v>203.2</v>
      </c>
      <c r="E217" s="6">
        <v>101.6</v>
      </c>
      <c r="F217" s="5">
        <v>15.875</v>
      </c>
      <c r="G217" s="5">
        <f t="shared" si="19"/>
        <v>1</v>
      </c>
      <c r="H217" s="6" t="str">
        <f t="shared" si="20"/>
        <v>LLBB</v>
      </c>
      <c r="I217" s="5">
        <v>73.406000000000006</v>
      </c>
      <c r="J217" s="5">
        <f t="shared" si="21"/>
        <v>0</v>
      </c>
      <c r="K217" s="5">
        <v>2.27</v>
      </c>
      <c r="L217" s="5">
        <v>39125754.006399997</v>
      </c>
      <c r="M217" s="5">
        <v>32.200000000000003</v>
      </c>
      <c r="N217" s="5">
        <v>18.399999999999999</v>
      </c>
      <c r="O217" s="5">
        <v>65.024000000000001</v>
      </c>
      <c r="P217" s="5">
        <v>16399518.168639997</v>
      </c>
      <c r="Q217" s="5">
        <v>299883.27119999996</v>
      </c>
      <c r="R217" s="5">
        <v>147647.44663999998</v>
      </c>
      <c r="S217" s="5">
        <v>42.163999999999994</v>
      </c>
      <c r="T217" s="5">
        <f t="shared" si="22"/>
        <v>1</v>
      </c>
      <c r="U217" s="5">
        <f t="shared" si="23"/>
        <v>1</v>
      </c>
      <c r="V217" s="5">
        <f t="shared" si="24"/>
        <v>1</v>
      </c>
      <c r="W217" s="5">
        <v>101.346</v>
      </c>
      <c r="X217" s="5">
        <v>0.58499999999999996</v>
      </c>
    </row>
    <row r="218" spans="1:24" x14ac:dyDescent="0.25">
      <c r="A218" s="5" t="s">
        <v>542</v>
      </c>
      <c r="B218" s="5">
        <v>65.181580571999987</v>
      </c>
      <c r="C218" s="5">
        <v>8387.08</v>
      </c>
      <c r="D218" s="6">
        <v>203.2</v>
      </c>
      <c r="E218" s="6">
        <v>101.6</v>
      </c>
      <c r="F218" s="5">
        <v>14.300199999999998</v>
      </c>
      <c r="G218" s="5">
        <f t="shared" si="19"/>
        <v>1</v>
      </c>
      <c r="H218" s="6" t="str">
        <f t="shared" si="20"/>
        <v>LLBB</v>
      </c>
      <c r="I218" s="5">
        <v>72.643999999999991</v>
      </c>
      <c r="J218" s="5">
        <f t="shared" si="21"/>
        <v>0</v>
      </c>
      <c r="K218" s="5">
        <v>2.23</v>
      </c>
      <c r="L218" s="5">
        <v>35712656.316479996</v>
      </c>
      <c r="M218" s="5">
        <v>29.2</v>
      </c>
      <c r="N218" s="5">
        <v>16.7</v>
      </c>
      <c r="O218" s="5">
        <v>65.277999999999992</v>
      </c>
      <c r="P218" s="5">
        <v>10322539.35488</v>
      </c>
      <c r="Q218" s="5">
        <v>186812.52959999998</v>
      </c>
      <c r="R218" s="5">
        <v>101599.7968</v>
      </c>
      <c r="S218" s="5">
        <v>35.051999999999992</v>
      </c>
      <c r="T218" s="5">
        <f t="shared" si="22"/>
        <v>1</v>
      </c>
      <c r="U218" s="5">
        <f t="shared" si="23"/>
        <v>1</v>
      </c>
      <c r="V218" s="5">
        <f t="shared" si="24"/>
        <v>1</v>
      </c>
      <c r="W218" s="5">
        <v>99.059999999999988</v>
      </c>
      <c r="X218" s="5">
        <v>0.56200000000000006</v>
      </c>
    </row>
    <row r="219" spans="1:24" x14ac:dyDescent="0.25">
      <c r="A219" s="5" t="s">
        <v>543</v>
      </c>
      <c r="B219" s="5">
        <v>65.181580571999987</v>
      </c>
      <c r="C219" s="5">
        <v>8387.08</v>
      </c>
      <c r="D219" s="6">
        <v>203.2</v>
      </c>
      <c r="E219" s="6">
        <v>101.6</v>
      </c>
      <c r="F219" s="5">
        <v>14.300199999999998</v>
      </c>
      <c r="G219" s="5">
        <f t="shared" si="19"/>
        <v>1</v>
      </c>
      <c r="H219" s="6" t="str">
        <f t="shared" si="20"/>
        <v>LLBB</v>
      </c>
      <c r="I219" s="5">
        <v>72.643999999999991</v>
      </c>
      <c r="J219" s="5">
        <f t="shared" si="21"/>
        <v>0</v>
      </c>
      <c r="K219" s="5">
        <v>2.23</v>
      </c>
      <c r="L219" s="5">
        <v>35712656.316479996</v>
      </c>
      <c r="M219" s="5">
        <v>29.2</v>
      </c>
      <c r="N219" s="5">
        <v>16.7</v>
      </c>
      <c r="O219" s="5">
        <v>65.277999999999992</v>
      </c>
      <c r="P219" s="5">
        <v>12320450.197759999</v>
      </c>
      <c r="Q219" s="5">
        <v>226141.48319999999</v>
      </c>
      <c r="R219" s="5">
        <v>115856.54247999999</v>
      </c>
      <c r="S219" s="5">
        <v>38.353999999999999</v>
      </c>
      <c r="T219" s="5">
        <f t="shared" si="22"/>
        <v>1</v>
      </c>
      <c r="U219" s="5">
        <f t="shared" si="23"/>
        <v>1</v>
      </c>
      <c r="V219" s="5">
        <f t="shared" si="24"/>
        <v>1</v>
      </c>
      <c r="W219" s="5">
        <v>100.07599999999999</v>
      </c>
      <c r="X219" s="5">
        <v>0.57199999999999995</v>
      </c>
    </row>
    <row r="220" spans="1:24" x14ac:dyDescent="0.25">
      <c r="A220" s="5" t="s">
        <v>544</v>
      </c>
      <c r="B220" s="5">
        <v>65.181580571999987</v>
      </c>
      <c r="C220" s="5">
        <v>8387.08</v>
      </c>
      <c r="D220" s="6">
        <v>203.2</v>
      </c>
      <c r="E220" s="6">
        <v>101.6</v>
      </c>
      <c r="F220" s="5">
        <v>14.300199999999998</v>
      </c>
      <c r="G220" s="5">
        <f t="shared" si="19"/>
        <v>1</v>
      </c>
      <c r="H220" s="6" t="str">
        <f t="shared" si="20"/>
        <v>LLBB</v>
      </c>
      <c r="I220" s="5">
        <v>72.643999999999991</v>
      </c>
      <c r="J220" s="5">
        <f t="shared" si="21"/>
        <v>0</v>
      </c>
      <c r="K220" s="5">
        <v>2.23</v>
      </c>
      <c r="L220" s="5">
        <v>35712656.316479996</v>
      </c>
      <c r="M220" s="5">
        <v>29.2</v>
      </c>
      <c r="N220" s="5">
        <v>16.7</v>
      </c>
      <c r="O220" s="5">
        <v>65.277999999999992</v>
      </c>
      <c r="P220" s="5">
        <v>14734592.466239998</v>
      </c>
      <c r="Q220" s="5">
        <v>267109.14319999999</v>
      </c>
      <c r="R220" s="5">
        <v>132571.34775999998</v>
      </c>
      <c r="S220" s="5">
        <v>41.91</v>
      </c>
      <c r="T220" s="5">
        <f t="shared" si="22"/>
        <v>1</v>
      </c>
      <c r="U220" s="5">
        <f t="shared" si="23"/>
        <v>1</v>
      </c>
      <c r="V220" s="5">
        <f t="shared" si="24"/>
        <v>1</v>
      </c>
      <c r="W220" s="5">
        <v>101.6</v>
      </c>
      <c r="X220" s="5">
        <v>0.58399999999999996</v>
      </c>
    </row>
    <row r="221" spans="1:24" x14ac:dyDescent="0.25">
      <c r="A221" s="5" t="s">
        <v>545</v>
      </c>
      <c r="B221" s="5">
        <v>58.336026448000005</v>
      </c>
      <c r="C221" s="5">
        <v>7483.8559999999998</v>
      </c>
      <c r="D221" s="6">
        <v>203.2</v>
      </c>
      <c r="E221" s="6">
        <v>101.6</v>
      </c>
      <c r="F221" s="5">
        <v>12.7</v>
      </c>
      <c r="G221" s="5">
        <f t="shared" si="19"/>
        <v>1</v>
      </c>
      <c r="H221" s="6" t="str">
        <f t="shared" si="20"/>
        <v>LLBB</v>
      </c>
      <c r="I221" s="5">
        <v>72.135999999999996</v>
      </c>
      <c r="J221" s="5">
        <f t="shared" si="21"/>
        <v>0</v>
      </c>
      <c r="K221" s="5">
        <v>2.2000000000000002</v>
      </c>
      <c r="L221" s="5">
        <v>32133066.056319997</v>
      </c>
      <c r="M221" s="5">
        <v>26.2</v>
      </c>
      <c r="N221" s="5">
        <v>15</v>
      </c>
      <c r="O221" s="5">
        <v>65.531999999999996</v>
      </c>
      <c r="P221" s="5">
        <v>9198714.5057599992</v>
      </c>
      <c r="Q221" s="5">
        <v>162395.80424</v>
      </c>
      <c r="R221" s="5">
        <v>90456.593279999986</v>
      </c>
      <c r="S221" s="5">
        <v>35.051999999999992</v>
      </c>
      <c r="T221" s="5">
        <f t="shared" si="22"/>
        <v>1</v>
      </c>
      <c r="U221" s="5">
        <f t="shared" si="23"/>
        <v>1</v>
      </c>
      <c r="V221" s="5">
        <f t="shared" si="24"/>
        <v>1</v>
      </c>
      <c r="W221" s="5">
        <v>99.059999999999988</v>
      </c>
      <c r="X221" s="5">
        <v>0.56100000000000005</v>
      </c>
    </row>
    <row r="222" spans="1:24" x14ac:dyDescent="0.25">
      <c r="A222" s="5" t="s">
        <v>546</v>
      </c>
      <c r="B222" s="5">
        <v>58.336026448000005</v>
      </c>
      <c r="C222" s="5">
        <v>7483.8559999999998</v>
      </c>
      <c r="D222" s="6">
        <v>203.2</v>
      </c>
      <c r="E222" s="6">
        <v>101.6</v>
      </c>
      <c r="F222" s="5">
        <v>12.7</v>
      </c>
      <c r="G222" s="5">
        <f t="shared" si="19"/>
        <v>1</v>
      </c>
      <c r="H222" s="6" t="str">
        <f t="shared" si="20"/>
        <v>LLBB</v>
      </c>
      <c r="I222" s="5">
        <v>72.135999999999996</v>
      </c>
      <c r="J222" s="5">
        <f t="shared" si="21"/>
        <v>0</v>
      </c>
      <c r="K222" s="5">
        <v>2.2000000000000002</v>
      </c>
      <c r="L222" s="5">
        <v>32133066.056319997</v>
      </c>
      <c r="M222" s="5">
        <v>26.2</v>
      </c>
      <c r="N222" s="5">
        <v>15</v>
      </c>
      <c r="O222" s="5">
        <v>65.531999999999996</v>
      </c>
      <c r="P222" s="5">
        <v>10863640.20816</v>
      </c>
      <c r="Q222" s="5">
        <v>198283.47439999998</v>
      </c>
      <c r="R222" s="5">
        <v>102091.40871999999</v>
      </c>
      <c r="S222" s="5">
        <v>38.099999999999994</v>
      </c>
      <c r="T222" s="5">
        <f t="shared" si="22"/>
        <v>1</v>
      </c>
      <c r="U222" s="5">
        <f t="shared" si="23"/>
        <v>1</v>
      </c>
      <c r="V222" s="5">
        <f t="shared" si="24"/>
        <v>1</v>
      </c>
      <c r="W222" s="5">
        <v>100.33</v>
      </c>
      <c r="X222" s="5">
        <v>0.57099999999999995</v>
      </c>
    </row>
    <row r="223" spans="1:24" x14ac:dyDescent="0.25">
      <c r="A223" s="5" t="s">
        <v>547</v>
      </c>
      <c r="B223" s="5">
        <v>58.336026448000005</v>
      </c>
      <c r="C223" s="5">
        <v>7483.8559999999998</v>
      </c>
      <c r="D223" s="6">
        <v>203.2</v>
      </c>
      <c r="E223" s="6">
        <v>101.6</v>
      </c>
      <c r="F223" s="5">
        <v>12.7</v>
      </c>
      <c r="G223" s="5">
        <f t="shared" si="19"/>
        <v>1</v>
      </c>
      <c r="H223" s="6" t="str">
        <f t="shared" si="20"/>
        <v>LLBB</v>
      </c>
      <c r="I223" s="5">
        <v>72.135999999999996</v>
      </c>
      <c r="J223" s="5">
        <f t="shared" si="21"/>
        <v>0</v>
      </c>
      <c r="K223" s="5">
        <v>2.2000000000000002</v>
      </c>
      <c r="L223" s="5">
        <v>32133066.056319997</v>
      </c>
      <c r="M223" s="5">
        <v>26.2</v>
      </c>
      <c r="N223" s="5">
        <v>15</v>
      </c>
      <c r="O223" s="5">
        <v>65.531999999999996</v>
      </c>
      <c r="P223" s="5">
        <v>12819927.90848</v>
      </c>
      <c r="Q223" s="5">
        <v>234335.01519999999</v>
      </c>
      <c r="R223" s="5">
        <v>115364.93055999999</v>
      </c>
      <c r="S223" s="5">
        <v>41.401999999999994</v>
      </c>
      <c r="T223" s="5">
        <f t="shared" si="22"/>
        <v>1</v>
      </c>
      <c r="U223" s="5">
        <f t="shared" si="23"/>
        <v>1</v>
      </c>
      <c r="V223" s="5">
        <f t="shared" si="24"/>
        <v>1</v>
      </c>
      <c r="W223" s="5">
        <v>101.6</v>
      </c>
      <c r="X223" s="5">
        <v>0.58299999999999996</v>
      </c>
    </row>
    <row r="224" spans="1:24" x14ac:dyDescent="0.25">
      <c r="A224" s="5" t="s">
        <v>548</v>
      </c>
      <c r="B224" s="5">
        <v>51.192839535999994</v>
      </c>
      <c r="C224" s="5">
        <v>6580.6319999999996</v>
      </c>
      <c r="D224" s="6">
        <v>203.2</v>
      </c>
      <c r="E224" s="6">
        <v>101.6</v>
      </c>
      <c r="F224" s="5">
        <v>11.1252</v>
      </c>
      <c r="G224" s="5">
        <f t="shared" si="19"/>
        <v>1</v>
      </c>
      <c r="H224" s="6" t="str">
        <f t="shared" si="20"/>
        <v>LLBB</v>
      </c>
      <c r="I224" s="5">
        <v>71.373999999999995</v>
      </c>
      <c r="J224" s="5">
        <f t="shared" si="21"/>
        <v>0</v>
      </c>
      <c r="K224" s="5">
        <v>2.16</v>
      </c>
      <c r="L224" s="5">
        <v>28470229.511039998</v>
      </c>
      <c r="M224" s="5">
        <v>23.2</v>
      </c>
      <c r="N224" s="5">
        <v>13.2</v>
      </c>
      <c r="O224" s="5">
        <v>65.785999999999987</v>
      </c>
      <c r="P224" s="5">
        <v>7950020.22896</v>
      </c>
      <c r="Q224" s="5">
        <v>138798.43208</v>
      </c>
      <c r="R224" s="5">
        <v>78330.165919999999</v>
      </c>
      <c r="S224" s="5">
        <v>34.798000000000002</v>
      </c>
      <c r="T224" s="5">
        <f t="shared" si="22"/>
        <v>1</v>
      </c>
      <c r="U224" s="5">
        <f t="shared" si="23"/>
        <v>1</v>
      </c>
      <c r="V224" s="5">
        <f t="shared" si="24"/>
        <v>1</v>
      </c>
      <c r="W224" s="5">
        <v>99.313999999999993</v>
      </c>
      <c r="X224" s="5">
        <v>0.56100000000000005</v>
      </c>
    </row>
    <row r="225" spans="1:24" x14ac:dyDescent="0.25">
      <c r="A225" s="5" t="s">
        <v>549</v>
      </c>
      <c r="B225" s="5">
        <v>51.192839535999994</v>
      </c>
      <c r="C225" s="5">
        <v>6580.6319999999996</v>
      </c>
      <c r="D225" s="6">
        <v>203.2</v>
      </c>
      <c r="E225" s="6">
        <v>101.6</v>
      </c>
      <c r="F225" s="5">
        <v>11.1252</v>
      </c>
      <c r="G225" s="5">
        <f t="shared" si="19"/>
        <v>1</v>
      </c>
      <c r="H225" s="6" t="str">
        <f t="shared" si="20"/>
        <v>LLBB</v>
      </c>
      <c r="I225" s="5">
        <v>71.373999999999995</v>
      </c>
      <c r="J225" s="5">
        <f t="shared" si="21"/>
        <v>0</v>
      </c>
      <c r="K225" s="5">
        <v>2.16</v>
      </c>
      <c r="L225" s="5">
        <v>28470229.511039998</v>
      </c>
      <c r="M225" s="5">
        <v>23.2</v>
      </c>
      <c r="N225" s="5">
        <v>13.2</v>
      </c>
      <c r="O225" s="5">
        <v>65.785999999999987</v>
      </c>
      <c r="P225" s="5">
        <v>9406830.218559999</v>
      </c>
      <c r="Q225" s="5">
        <v>170425.4656</v>
      </c>
      <c r="R225" s="5">
        <v>88490.145600000003</v>
      </c>
      <c r="S225" s="5">
        <v>37.845999999999997</v>
      </c>
      <c r="T225" s="5">
        <f t="shared" si="22"/>
        <v>1</v>
      </c>
      <c r="U225" s="5">
        <f t="shared" si="23"/>
        <v>1</v>
      </c>
      <c r="V225" s="5">
        <f t="shared" si="24"/>
        <v>1</v>
      </c>
      <c r="W225" s="5">
        <v>100.33</v>
      </c>
      <c r="X225" s="5">
        <v>0.57099999999999995</v>
      </c>
    </row>
    <row r="226" spans="1:24" x14ac:dyDescent="0.25">
      <c r="A226" s="5" t="s">
        <v>550</v>
      </c>
      <c r="B226" s="5">
        <v>51.192839535999994</v>
      </c>
      <c r="C226" s="5">
        <v>6580.6319999999996</v>
      </c>
      <c r="D226" s="6">
        <v>203.2</v>
      </c>
      <c r="E226" s="6">
        <v>101.6</v>
      </c>
      <c r="F226" s="5">
        <v>11.1252</v>
      </c>
      <c r="G226" s="5">
        <f t="shared" si="19"/>
        <v>1</v>
      </c>
      <c r="H226" s="6" t="str">
        <f t="shared" si="20"/>
        <v>LLBB</v>
      </c>
      <c r="I226" s="5">
        <v>71.373999999999995</v>
      </c>
      <c r="J226" s="5">
        <f t="shared" si="21"/>
        <v>0</v>
      </c>
      <c r="K226" s="5">
        <v>2.16</v>
      </c>
      <c r="L226" s="5">
        <v>28470229.511039998</v>
      </c>
      <c r="M226" s="5">
        <v>23.2</v>
      </c>
      <c r="N226" s="5">
        <v>13.2</v>
      </c>
      <c r="O226" s="5">
        <v>65.785999999999987</v>
      </c>
      <c r="P226" s="5">
        <v>11155002.206079999</v>
      </c>
      <c r="Q226" s="5">
        <v>201560.8872</v>
      </c>
      <c r="R226" s="5">
        <v>100452.70231999998</v>
      </c>
      <c r="S226" s="5">
        <v>41.148000000000003</v>
      </c>
      <c r="T226" s="5">
        <f t="shared" si="22"/>
        <v>1</v>
      </c>
      <c r="U226" s="5">
        <f t="shared" si="23"/>
        <v>1</v>
      </c>
      <c r="V226" s="5">
        <f t="shared" si="24"/>
        <v>1</v>
      </c>
      <c r="W226" s="5">
        <v>101.6</v>
      </c>
      <c r="X226" s="5">
        <v>0.58199999999999996</v>
      </c>
    </row>
    <row r="227" spans="1:24" x14ac:dyDescent="0.25">
      <c r="A227" s="5" t="s">
        <v>551</v>
      </c>
      <c r="B227" s="5">
        <v>77.979790455999989</v>
      </c>
      <c r="C227" s="5">
        <v>9999.98</v>
      </c>
      <c r="D227" s="6">
        <v>177.79999999999998</v>
      </c>
      <c r="E227" s="6">
        <v>101.6</v>
      </c>
      <c r="F227" s="5">
        <v>19.049999999999997</v>
      </c>
      <c r="G227" s="5">
        <f t="shared" si="19"/>
        <v>1</v>
      </c>
      <c r="H227" s="6" t="str">
        <f t="shared" si="20"/>
        <v>LLBB</v>
      </c>
      <c r="I227" s="5">
        <v>63.5</v>
      </c>
      <c r="J227" s="5">
        <f t="shared" si="21"/>
        <v>0</v>
      </c>
      <c r="K227" s="5">
        <v>1.84</v>
      </c>
      <c r="L227" s="5">
        <v>31467095.775359996</v>
      </c>
      <c r="M227" s="5">
        <v>29.6</v>
      </c>
      <c r="N227" s="5">
        <v>16.8</v>
      </c>
      <c r="O227" s="5">
        <v>56.133999999999993</v>
      </c>
      <c r="P227" s="5">
        <v>14151868.470399998</v>
      </c>
      <c r="Q227" s="5">
        <v>253999.49199999997</v>
      </c>
      <c r="R227" s="5">
        <v>139290.04399999999</v>
      </c>
      <c r="S227" s="5">
        <v>37.591999999999999</v>
      </c>
      <c r="T227" s="5">
        <f t="shared" si="22"/>
        <v>1</v>
      </c>
      <c r="U227" s="5">
        <f t="shared" si="23"/>
        <v>1</v>
      </c>
      <c r="V227" s="5">
        <f t="shared" si="24"/>
        <v>1</v>
      </c>
      <c r="W227" s="5">
        <v>86.614000000000004</v>
      </c>
      <c r="X227" s="5">
        <v>0.61099999999999999</v>
      </c>
    </row>
    <row r="228" spans="1:24" x14ac:dyDescent="0.25">
      <c r="A228" s="5" t="s">
        <v>552</v>
      </c>
      <c r="B228" s="5">
        <v>77.979790455999989</v>
      </c>
      <c r="C228" s="5">
        <v>9999.98</v>
      </c>
      <c r="D228" s="6">
        <v>177.79999999999998</v>
      </c>
      <c r="E228" s="6">
        <v>101.6</v>
      </c>
      <c r="F228" s="5">
        <v>19.049999999999997</v>
      </c>
      <c r="G228" s="5">
        <f t="shared" si="19"/>
        <v>1</v>
      </c>
      <c r="H228" s="6" t="str">
        <f t="shared" si="20"/>
        <v>LLBB</v>
      </c>
      <c r="I228" s="5">
        <v>63.5</v>
      </c>
      <c r="J228" s="5">
        <f t="shared" si="21"/>
        <v>0</v>
      </c>
      <c r="K228" s="5">
        <v>1.84</v>
      </c>
      <c r="L228" s="5">
        <v>31467095.775359996</v>
      </c>
      <c r="M228" s="5">
        <v>29.6</v>
      </c>
      <c r="N228" s="5">
        <v>16.8</v>
      </c>
      <c r="O228" s="5">
        <v>56.133999999999993</v>
      </c>
      <c r="P228" s="5">
        <v>16732503.309119999</v>
      </c>
      <c r="Q228" s="5">
        <v>301521.97759999993</v>
      </c>
      <c r="R228" s="5">
        <v>157315.81439999997</v>
      </c>
      <c r="S228" s="5">
        <v>40.893999999999998</v>
      </c>
      <c r="T228" s="5">
        <f t="shared" si="22"/>
        <v>1</v>
      </c>
      <c r="U228" s="5">
        <f t="shared" si="23"/>
        <v>1</v>
      </c>
      <c r="V228" s="5">
        <f t="shared" si="24"/>
        <v>1</v>
      </c>
      <c r="W228" s="5">
        <v>88.138000000000005</v>
      </c>
      <c r="X228" s="5">
        <v>0.624</v>
      </c>
    </row>
    <row r="229" spans="1:24" x14ac:dyDescent="0.25">
      <c r="A229" s="5" t="s">
        <v>553</v>
      </c>
      <c r="B229" s="5">
        <v>77.979790455999989</v>
      </c>
      <c r="C229" s="5">
        <v>9999.98</v>
      </c>
      <c r="D229" s="6">
        <v>177.79999999999998</v>
      </c>
      <c r="E229" s="6">
        <v>101.6</v>
      </c>
      <c r="F229" s="5">
        <v>19.049999999999997</v>
      </c>
      <c r="G229" s="5">
        <f t="shared" si="19"/>
        <v>1</v>
      </c>
      <c r="H229" s="6" t="str">
        <f t="shared" si="20"/>
        <v>LLBB</v>
      </c>
      <c r="I229" s="5">
        <v>63.5</v>
      </c>
      <c r="J229" s="5">
        <f t="shared" si="21"/>
        <v>0</v>
      </c>
      <c r="K229" s="5">
        <v>1.84</v>
      </c>
      <c r="L229" s="5">
        <v>31467095.775359996</v>
      </c>
      <c r="M229" s="5">
        <v>29.6</v>
      </c>
      <c r="N229" s="5">
        <v>16.8</v>
      </c>
      <c r="O229" s="5">
        <v>56.133999999999993</v>
      </c>
      <c r="P229" s="5">
        <v>19770992.715999998</v>
      </c>
      <c r="Q229" s="5">
        <v>349044.4632</v>
      </c>
      <c r="R229" s="5">
        <v>178618.9976</v>
      </c>
      <c r="S229" s="5">
        <v>44.449999999999996</v>
      </c>
      <c r="T229" s="5">
        <f t="shared" si="22"/>
        <v>1</v>
      </c>
      <c r="U229" s="5">
        <f t="shared" si="23"/>
        <v>1</v>
      </c>
      <c r="V229" s="5">
        <f t="shared" si="24"/>
        <v>1</v>
      </c>
      <c r="W229" s="5">
        <v>89.661999999999992</v>
      </c>
      <c r="X229" s="5">
        <v>0.63900000000000001</v>
      </c>
    </row>
    <row r="230" spans="1:24" x14ac:dyDescent="0.25">
      <c r="A230" s="5" t="s">
        <v>554</v>
      </c>
      <c r="B230" s="5">
        <v>65.776846148000004</v>
      </c>
      <c r="C230" s="5">
        <v>8387.08</v>
      </c>
      <c r="D230" s="6">
        <v>177.79999999999998</v>
      </c>
      <c r="E230" s="6">
        <v>101.6</v>
      </c>
      <c r="F230" s="5">
        <v>15.875</v>
      </c>
      <c r="G230" s="5">
        <f t="shared" si="19"/>
        <v>1</v>
      </c>
      <c r="H230" s="6" t="str">
        <f t="shared" si="20"/>
        <v>LLBB</v>
      </c>
      <c r="I230" s="5">
        <v>62.230000000000004</v>
      </c>
      <c r="J230" s="5">
        <f t="shared" si="21"/>
        <v>0</v>
      </c>
      <c r="K230" s="5">
        <v>1.8</v>
      </c>
      <c r="L230" s="5">
        <v>26971796.378879998</v>
      </c>
      <c r="M230" s="5">
        <v>25</v>
      </c>
      <c r="N230" s="5">
        <v>14.2</v>
      </c>
      <c r="O230" s="5">
        <v>56.641999999999996</v>
      </c>
      <c r="P230" s="5">
        <v>11363117.918879999</v>
      </c>
      <c r="Q230" s="5">
        <v>204838.3</v>
      </c>
      <c r="R230" s="5">
        <v>111759.77648</v>
      </c>
      <c r="S230" s="5">
        <v>36.83</v>
      </c>
      <c r="T230" s="5">
        <f t="shared" si="22"/>
        <v>1</v>
      </c>
      <c r="U230" s="5">
        <f t="shared" si="23"/>
        <v>1</v>
      </c>
      <c r="V230" s="5">
        <f t="shared" si="24"/>
        <v>1</v>
      </c>
      <c r="W230" s="5">
        <v>86.867999999999995</v>
      </c>
      <c r="X230" s="5">
        <v>0.60799999999999998</v>
      </c>
    </row>
    <row r="231" spans="1:24" x14ac:dyDescent="0.25">
      <c r="A231" s="5" t="s">
        <v>555</v>
      </c>
      <c r="B231" s="5">
        <v>65.776846148000004</v>
      </c>
      <c r="C231" s="5">
        <v>8387.08</v>
      </c>
      <c r="D231" s="6">
        <v>177.79999999999998</v>
      </c>
      <c r="E231" s="6">
        <v>101.6</v>
      </c>
      <c r="F231" s="5">
        <v>15.875</v>
      </c>
      <c r="G231" s="5">
        <f t="shared" si="19"/>
        <v>1</v>
      </c>
      <c r="H231" s="6" t="str">
        <f t="shared" si="20"/>
        <v>LLBB</v>
      </c>
      <c r="I231" s="5">
        <v>62.230000000000004</v>
      </c>
      <c r="J231" s="5">
        <f t="shared" si="21"/>
        <v>0</v>
      </c>
      <c r="K231" s="5">
        <v>1.8</v>
      </c>
      <c r="L231" s="5">
        <v>26971796.378879998</v>
      </c>
      <c r="M231" s="5">
        <v>25</v>
      </c>
      <c r="N231" s="5">
        <v>14.2</v>
      </c>
      <c r="O231" s="5">
        <v>56.641999999999996</v>
      </c>
      <c r="P231" s="5">
        <v>13527521.331999999</v>
      </c>
      <c r="Q231" s="5">
        <v>244167.2536</v>
      </c>
      <c r="R231" s="5">
        <v>127163.61663999998</v>
      </c>
      <c r="S231" s="5">
        <v>40.131999999999998</v>
      </c>
      <c r="T231" s="5">
        <f t="shared" si="22"/>
        <v>1</v>
      </c>
      <c r="U231" s="5">
        <f t="shared" si="23"/>
        <v>1</v>
      </c>
      <c r="V231" s="5">
        <f t="shared" si="24"/>
        <v>1</v>
      </c>
      <c r="W231" s="5">
        <v>88.138000000000005</v>
      </c>
      <c r="X231" s="5">
        <v>0.621</v>
      </c>
    </row>
    <row r="232" spans="1:24" x14ac:dyDescent="0.25">
      <c r="A232" s="5" t="s">
        <v>556</v>
      </c>
      <c r="B232" s="5">
        <v>65.776846148000004</v>
      </c>
      <c r="C232" s="5">
        <v>8387.08</v>
      </c>
      <c r="D232" s="6">
        <v>177.79999999999998</v>
      </c>
      <c r="E232" s="6">
        <v>101.6</v>
      </c>
      <c r="F232" s="5">
        <v>15.875</v>
      </c>
      <c r="G232" s="5">
        <f t="shared" si="19"/>
        <v>1</v>
      </c>
      <c r="H232" s="6" t="str">
        <f t="shared" si="20"/>
        <v>LLBB</v>
      </c>
      <c r="I232" s="5">
        <v>62.230000000000004</v>
      </c>
      <c r="J232" s="5">
        <f t="shared" si="21"/>
        <v>0</v>
      </c>
      <c r="K232" s="5">
        <v>1.8</v>
      </c>
      <c r="L232" s="5">
        <v>26971796.378879998</v>
      </c>
      <c r="M232" s="5">
        <v>25</v>
      </c>
      <c r="N232" s="5">
        <v>14.2</v>
      </c>
      <c r="O232" s="5">
        <v>56.641999999999996</v>
      </c>
      <c r="P232" s="5">
        <v>16191402.455839997</v>
      </c>
      <c r="Q232" s="5">
        <v>283496.2072</v>
      </c>
      <c r="R232" s="5">
        <v>145680.99896</v>
      </c>
      <c r="S232" s="5">
        <v>43.942</v>
      </c>
      <c r="T232" s="5">
        <f t="shared" si="22"/>
        <v>1</v>
      </c>
      <c r="U232" s="5">
        <f t="shared" si="23"/>
        <v>1</v>
      </c>
      <c r="V232" s="5">
        <f t="shared" si="24"/>
        <v>1</v>
      </c>
      <c r="W232" s="5">
        <v>89.915999999999997</v>
      </c>
      <c r="X232" s="5">
        <v>0.63500000000000001</v>
      </c>
    </row>
    <row r="233" spans="1:24" x14ac:dyDescent="0.25">
      <c r="A233" s="5" t="s">
        <v>557</v>
      </c>
      <c r="B233" s="5">
        <v>53.276269051999996</v>
      </c>
      <c r="C233" s="5">
        <v>6774.1799999999994</v>
      </c>
      <c r="D233" s="6">
        <v>177.79999999999998</v>
      </c>
      <c r="E233" s="6">
        <v>101.6</v>
      </c>
      <c r="F233" s="5">
        <v>12.7</v>
      </c>
      <c r="G233" s="5">
        <f t="shared" si="19"/>
        <v>1</v>
      </c>
      <c r="H233" s="6" t="str">
        <f t="shared" si="20"/>
        <v>LLBB</v>
      </c>
      <c r="I233" s="5">
        <v>60.959999999999994</v>
      </c>
      <c r="J233" s="5">
        <f t="shared" si="21"/>
        <v>0</v>
      </c>
      <c r="K233" s="5">
        <v>1.74</v>
      </c>
      <c r="L233" s="5">
        <v>22143511.84192</v>
      </c>
      <c r="M233" s="5">
        <v>20.399999999999999</v>
      </c>
      <c r="N233" s="5">
        <v>11.6</v>
      </c>
      <c r="O233" s="5">
        <v>57.15</v>
      </c>
      <c r="P233" s="5">
        <v>9073845.0780799985</v>
      </c>
      <c r="Q233" s="5">
        <v>156824.20247999998</v>
      </c>
      <c r="R233" s="5">
        <v>89309.498800000001</v>
      </c>
      <c r="S233" s="5">
        <v>36.575999999999993</v>
      </c>
      <c r="T233" s="5">
        <f t="shared" si="22"/>
        <v>1</v>
      </c>
      <c r="U233" s="5">
        <f t="shared" si="23"/>
        <v>1</v>
      </c>
      <c r="V233" s="5">
        <f t="shared" si="24"/>
        <v>1</v>
      </c>
      <c r="W233" s="5">
        <v>87.122</v>
      </c>
      <c r="X233" s="5">
        <v>0.60599999999999998</v>
      </c>
    </row>
    <row r="234" spans="1:24" x14ac:dyDescent="0.25">
      <c r="A234" s="5" t="s">
        <v>558</v>
      </c>
      <c r="B234" s="5">
        <v>53.276269051999996</v>
      </c>
      <c r="C234" s="5">
        <v>6774.1799999999994</v>
      </c>
      <c r="D234" s="6">
        <v>177.79999999999998</v>
      </c>
      <c r="E234" s="6">
        <v>101.6</v>
      </c>
      <c r="F234" s="5">
        <v>12.7</v>
      </c>
      <c r="G234" s="5">
        <f t="shared" si="19"/>
        <v>1</v>
      </c>
      <c r="H234" s="6" t="str">
        <f t="shared" si="20"/>
        <v>LLBB</v>
      </c>
      <c r="I234" s="5">
        <v>60.959999999999994</v>
      </c>
      <c r="J234" s="5">
        <f t="shared" si="21"/>
        <v>0</v>
      </c>
      <c r="K234" s="5">
        <v>1.74</v>
      </c>
      <c r="L234" s="5">
        <v>22143511.84192</v>
      </c>
      <c r="M234" s="5">
        <v>20.399999999999999</v>
      </c>
      <c r="N234" s="5">
        <v>11.6</v>
      </c>
      <c r="O234" s="5">
        <v>57.15</v>
      </c>
      <c r="P234" s="5">
        <v>10655524.49536</v>
      </c>
      <c r="Q234" s="5">
        <v>188451.23599999998</v>
      </c>
      <c r="R234" s="5">
        <v>100124.96103999999</v>
      </c>
      <c r="S234" s="5">
        <v>39.624000000000002</v>
      </c>
      <c r="T234" s="5">
        <f t="shared" si="22"/>
        <v>1</v>
      </c>
      <c r="U234" s="5">
        <f t="shared" si="23"/>
        <v>1</v>
      </c>
      <c r="V234" s="5">
        <f t="shared" si="24"/>
        <v>1</v>
      </c>
      <c r="W234" s="5">
        <v>88.391999999999996</v>
      </c>
      <c r="X234" s="5">
        <v>0.61799999999999999</v>
      </c>
    </row>
    <row r="235" spans="1:24" x14ac:dyDescent="0.25">
      <c r="A235" s="5" t="s">
        <v>559</v>
      </c>
      <c r="B235" s="5">
        <v>53.276269051999996</v>
      </c>
      <c r="C235" s="5">
        <v>6774.1799999999994</v>
      </c>
      <c r="D235" s="6">
        <v>177.79999999999998</v>
      </c>
      <c r="E235" s="6">
        <v>101.6</v>
      </c>
      <c r="F235" s="5">
        <v>12.7</v>
      </c>
      <c r="G235" s="5">
        <f t="shared" si="19"/>
        <v>1</v>
      </c>
      <c r="H235" s="6" t="str">
        <f t="shared" si="20"/>
        <v>LLBB</v>
      </c>
      <c r="I235" s="5">
        <v>60.959999999999994</v>
      </c>
      <c r="J235" s="5">
        <f t="shared" si="21"/>
        <v>0</v>
      </c>
      <c r="K235" s="5">
        <v>1.74</v>
      </c>
      <c r="L235" s="5">
        <v>22143511.84192</v>
      </c>
      <c r="M235" s="5">
        <v>20.399999999999999</v>
      </c>
      <c r="N235" s="5">
        <v>11.6</v>
      </c>
      <c r="O235" s="5">
        <v>57.15</v>
      </c>
      <c r="P235" s="5">
        <v>12611812.19568</v>
      </c>
      <c r="Q235" s="5">
        <v>221225.36399999997</v>
      </c>
      <c r="R235" s="5">
        <v>113562.35351999999</v>
      </c>
      <c r="S235" s="5">
        <v>43.18</v>
      </c>
      <c r="T235" s="5">
        <f t="shared" si="22"/>
        <v>1</v>
      </c>
      <c r="U235" s="5">
        <f t="shared" si="23"/>
        <v>1</v>
      </c>
      <c r="V235" s="5">
        <f t="shared" si="24"/>
        <v>1</v>
      </c>
      <c r="W235" s="5">
        <v>90.169999999999987</v>
      </c>
      <c r="X235" s="5">
        <v>0.63200000000000001</v>
      </c>
    </row>
    <row r="236" spans="1:24" x14ac:dyDescent="0.25">
      <c r="A236" s="5" t="s">
        <v>560</v>
      </c>
      <c r="B236" s="5">
        <v>46.728347715999995</v>
      </c>
      <c r="C236" s="5">
        <v>5974.1815999999999</v>
      </c>
      <c r="D236" s="6">
        <v>177.79999999999998</v>
      </c>
      <c r="E236" s="6">
        <v>101.6</v>
      </c>
      <c r="F236" s="5">
        <v>11.1252</v>
      </c>
      <c r="G236" s="5">
        <f t="shared" si="19"/>
        <v>1</v>
      </c>
      <c r="H236" s="6" t="str">
        <f t="shared" si="20"/>
        <v>LLBB</v>
      </c>
      <c r="I236" s="5">
        <v>60.451999999999991</v>
      </c>
      <c r="J236" s="5">
        <f t="shared" si="21"/>
        <v>0</v>
      </c>
      <c r="K236" s="5">
        <v>1.71</v>
      </c>
      <c r="L236" s="5">
        <v>19646123.288319997</v>
      </c>
      <c r="M236" s="5">
        <v>18.100000000000001</v>
      </c>
      <c r="N236" s="5">
        <v>10.199999999999999</v>
      </c>
      <c r="O236" s="5">
        <v>57.403999999999989</v>
      </c>
      <c r="P236" s="5">
        <v>7866773.9438399989</v>
      </c>
      <c r="Q236" s="5">
        <v>134373.92479999998</v>
      </c>
      <c r="R236" s="5">
        <v>77346.942079999993</v>
      </c>
      <c r="S236" s="5">
        <v>36.321999999999996</v>
      </c>
      <c r="T236" s="5">
        <f t="shared" si="22"/>
        <v>1</v>
      </c>
      <c r="U236" s="5">
        <f t="shared" si="23"/>
        <v>1</v>
      </c>
      <c r="V236" s="5">
        <f t="shared" si="24"/>
        <v>1</v>
      </c>
      <c r="W236" s="5">
        <v>87.122</v>
      </c>
      <c r="X236" s="5">
        <v>0.60499999999999998</v>
      </c>
    </row>
    <row r="237" spans="1:24" x14ac:dyDescent="0.25">
      <c r="A237" s="5" t="s">
        <v>561</v>
      </c>
      <c r="B237" s="5">
        <v>46.728347715999995</v>
      </c>
      <c r="C237" s="5">
        <v>5974.1815999999999</v>
      </c>
      <c r="D237" s="6">
        <v>177.79999999999998</v>
      </c>
      <c r="E237" s="6">
        <v>101.6</v>
      </c>
      <c r="F237" s="5">
        <v>11.1252</v>
      </c>
      <c r="G237" s="5">
        <f t="shared" si="19"/>
        <v>1</v>
      </c>
      <c r="H237" s="6" t="str">
        <f t="shared" si="20"/>
        <v>LLBB</v>
      </c>
      <c r="I237" s="5">
        <v>60.451999999999991</v>
      </c>
      <c r="J237" s="5">
        <f t="shared" si="21"/>
        <v>0</v>
      </c>
      <c r="K237" s="5">
        <v>1.71</v>
      </c>
      <c r="L237" s="5">
        <v>19646123.288319997</v>
      </c>
      <c r="M237" s="5">
        <v>18.100000000000001</v>
      </c>
      <c r="N237" s="5">
        <v>10.199999999999999</v>
      </c>
      <c r="O237" s="5">
        <v>57.403999999999989</v>
      </c>
      <c r="P237" s="5">
        <v>9240337.6483199988</v>
      </c>
      <c r="Q237" s="5">
        <v>162887.41615999996</v>
      </c>
      <c r="R237" s="5">
        <v>86851.439199999993</v>
      </c>
      <c r="S237" s="5">
        <v>39.369999999999997</v>
      </c>
      <c r="T237" s="5">
        <f t="shared" si="22"/>
        <v>1</v>
      </c>
      <c r="U237" s="5">
        <f t="shared" si="23"/>
        <v>1</v>
      </c>
      <c r="V237" s="5">
        <f t="shared" si="24"/>
        <v>1</v>
      </c>
      <c r="W237" s="5">
        <v>88.646000000000001</v>
      </c>
      <c r="X237" s="5">
        <v>0.61699999999999999</v>
      </c>
    </row>
    <row r="238" spans="1:24" x14ac:dyDescent="0.25">
      <c r="A238" s="5" t="s">
        <v>562</v>
      </c>
      <c r="B238" s="5">
        <v>46.728347715999995</v>
      </c>
      <c r="C238" s="5">
        <v>5974.1815999999999</v>
      </c>
      <c r="D238" s="6">
        <v>177.79999999999998</v>
      </c>
      <c r="E238" s="6">
        <v>101.6</v>
      </c>
      <c r="F238" s="5">
        <v>11.1252</v>
      </c>
      <c r="G238" s="5">
        <f t="shared" si="19"/>
        <v>1</v>
      </c>
      <c r="H238" s="6" t="str">
        <f t="shared" si="20"/>
        <v>LLBB</v>
      </c>
      <c r="I238" s="5">
        <v>60.451999999999991</v>
      </c>
      <c r="J238" s="5">
        <f t="shared" si="21"/>
        <v>0</v>
      </c>
      <c r="K238" s="5">
        <v>1.71</v>
      </c>
      <c r="L238" s="5">
        <v>19646123.288319997</v>
      </c>
      <c r="M238" s="5">
        <v>18.100000000000001</v>
      </c>
      <c r="N238" s="5">
        <v>10.199999999999999</v>
      </c>
      <c r="O238" s="5">
        <v>57.403999999999989</v>
      </c>
      <c r="P238" s="5">
        <v>10863640.20816</v>
      </c>
      <c r="Q238" s="5">
        <v>191728.64879999997</v>
      </c>
      <c r="R238" s="5">
        <v>97830.772079999981</v>
      </c>
      <c r="S238" s="5">
        <v>42.671999999999997</v>
      </c>
      <c r="T238" s="5">
        <f t="shared" si="22"/>
        <v>1</v>
      </c>
      <c r="U238" s="5">
        <f t="shared" si="23"/>
        <v>1</v>
      </c>
      <c r="V238" s="5">
        <f t="shared" si="24"/>
        <v>1</v>
      </c>
      <c r="W238" s="5">
        <v>90.169999999999987</v>
      </c>
      <c r="X238" s="5">
        <v>0.63</v>
      </c>
    </row>
    <row r="239" spans="1:24" x14ac:dyDescent="0.25">
      <c r="A239" s="5" t="s">
        <v>563</v>
      </c>
      <c r="B239" s="5">
        <v>40.478059168000001</v>
      </c>
      <c r="C239" s="5">
        <v>5161.28</v>
      </c>
      <c r="D239" s="6">
        <v>177.79999999999998</v>
      </c>
      <c r="E239" s="6">
        <v>101.6</v>
      </c>
      <c r="F239" s="5">
        <v>9.5249999999999986</v>
      </c>
      <c r="G239" s="5">
        <f t="shared" si="19"/>
        <v>1</v>
      </c>
      <c r="H239" s="6" t="str">
        <f t="shared" si="20"/>
        <v>LLBB</v>
      </c>
      <c r="I239" s="5">
        <v>59.69</v>
      </c>
      <c r="J239" s="5">
        <f t="shared" si="21"/>
        <v>0</v>
      </c>
      <c r="K239" s="5">
        <v>1.67</v>
      </c>
      <c r="L239" s="5">
        <v>17065488.4496</v>
      </c>
      <c r="M239" s="5">
        <v>15.6</v>
      </c>
      <c r="N239" s="5">
        <v>8.84</v>
      </c>
      <c r="O239" s="5">
        <v>57.657999999999994</v>
      </c>
      <c r="P239" s="5">
        <v>6701325.9521599999</v>
      </c>
      <c r="Q239" s="5">
        <v>112906.87095999999</v>
      </c>
      <c r="R239" s="5">
        <v>66039.867920000004</v>
      </c>
      <c r="S239" s="5">
        <v>36.067999999999998</v>
      </c>
      <c r="T239" s="5">
        <f t="shared" si="22"/>
        <v>1</v>
      </c>
      <c r="U239" s="5">
        <f t="shared" si="23"/>
        <v>1</v>
      </c>
      <c r="V239" s="5">
        <f t="shared" si="24"/>
        <v>1</v>
      </c>
      <c r="W239" s="5">
        <v>87.375999999999991</v>
      </c>
      <c r="X239" s="5">
        <v>0.60499999999999998</v>
      </c>
    </row>
    <row r="240" spans="1:24" x14ac:dyDescent="0.25">
      <c r="A240" s="5" t="s">
        <v>564</v>
      </c>
      <c r="B240" s="5">
        <v>40.478059168000001</v>
      </c>
      <c r="C240" s="5">
        <v>5161.28</v>
      </c>
      <c r="D240" s="6">
        <v>177.79999999999998</v>
      </c>
      <c r="E240" s="6">
        <v>101.6</v>
      </c>
      <c r="F240" s="5">
        <v>9.5249999999999986</v>
      </c>
      <c r="G240" s="5">
        <f t="shared" si="19"/>
        <v>1</v>
      </c>
      <c r="H240" s="6" t="str">
        <f t="shared" si="20"/>
        <v>LLBB</v>
      </c>
      <c r="I240" s="5">
        <v>59.69</v>
      </c>
      <c r="J240" s="5">
        <f t="shared" si="21"/>
        <v>0</v>
      </c>
      <c r="K240" s="5">
        <v>1.67</v>
      </c>
      <c r="L240" s="5">
        <v>17065488.4496</v>
      </c>
      <c r="M240" s="5">
        <v>15.6</v>
      </c>
      <c r="N240" s="5">
        <v>8.84</v>
      </c>
      <c r="O240" s="5">
        <v>57.657999999999994</v>
      </c>
      <c r="P240" s="5">
        <v>7908397.0863999994</v>
      </c>
      <c r="Q240" s="5">
        <v>137487.46695999999</v>
      </c>
      <c r="R240" s="5">
        <v>74397.27055999999</v>
      </c>
      <c r="S240" s="5">
        <v>39.116</v>
      </c>
      <c r="T240" s="5">
        <f t="shared" si="22"/>
        <v>1</v>
      </c>
      <c r="U240" s="5">
        <f t="shared" si="23"/>
        <v>1</v>
      </c>
      <c r="V240" s="5">
        <f t="shared" si="24"/>
        <v>1</v>
      </c>
      <c r="W240" s="5">
        <v>88.646000000000001</v>
      </c>
      <c r="X240" s="5">
        <v>0.61599999999999999</v>
      </c>
    </row>
    <row r="241" spans="1:24" x14ac:dyDescent="0.25">
      <c r="A241" s="5" t="s">
        <v>565</v>
      </c>
      <c r="B241" s="5">
        <v>40.478059168000001</v>
      </c>
      <c r="C241" s="5">
        <v>5161.28</v>
      </c>
      <c r="D241" s="6">
        <v>177.79999999999998</v>
      </c>
      <c r="E241" s="6">
        <v>101.6</v>
      </c>
      <c r="F241" s="5">
        <v>9.5249999999999986</v>
      </c>
      <c r="G241" s="5">
        <f t="shared" si="19"/>
        <v>1</v>
      </c>
      <c r="H241" s="6" t="str">
        <f t="shared" si="20"/>
        <v>LLBB</v>
      </c>
      <c r="I241" s="5">
        <v>59.69</v>
      </c>
      <c r="J241" s="5">
        <f t="shared" si="21"/>
        <v>0</v>
      </c>
      <c r="K241" s="5">
        <v>1.67</v>
      </c>
      <c r="L241" s="5">
        <v>17065488.4496</v>
      </c>
      <c r="M241" s="5">
        <v>15.6</v>
      </c>
      <c r="N241" s="5">
        <v>8.84</v>
      </c>
      <c r="O241" s="5">
        <v>57.657999999999994</v>
      </c>
      <c r="P241" s="5">
        <v>9281960.7908800002</v>
      </c>
      <c r="Q241" s="5">
        <v>162068.06295999998</v>
      </c>
      <c r="R241" s="5">
        <v>83574.026399999988</v>
      </c>
      <c r="S241" s="5">
        <v>42.417999999999999</v>
      </c>
      <c r="T241" s="5">
        <f t="shared" si="22"/>
        <v>1</v>
      </c>
      <c r="U241" s="5">
        <f t="shared" si="23"/>
        <v>1</v>
      </c>
      <c r="V241" s="5">
        <f t="shared" si="24"/>
        <v>1</v>
      </c>
      <c r="W241" s="5">
        <v>90.169999999999987</v>
      </c>
      <c r="X241" s="5">
        <v>0.629</v>
      </c>
    </row>
    <row r="242" spans="1:24" x14ac:dyDescent="0.25">
      <c r="A242" s="5" t="s">
        <v>566</v>
      </c>
      <c r="B242" s="5">
        <v>80.956118336000003</v>
      </c>
      <c r="C242" s="5">
        <v>10322.56</v>
      </c>
      <c r="D242" s="6">
        <v>152.39999999999998</v>
      </c>
      <c r="E242" s="6">
        <v>101.6</v>
      </c>
      <c r="F242" s="5">
        <v>22.224999999999998</v>
      </c>
      <c r="G242" s="5">
        <f t="shared" si="19"/>
        <v>1</v>
      </c>
      <c r="H242" s="6" t="str">
        <f t="shared" si="20"/>
        <v>LLBB</v>
      </c>
      <c r="I242" s="5">
        <v>53.847999999999999</v>
      </c>
      <c r="J242" s="5">
        <f t="shared" si="21"/>
        <v>0</v>
      </c>
      <c r="K242" s="5">
        <v>1.43</v>
      </c>
      <c r="L242" s="5">
        <v>23059220.978239998</v>
      </c>
      <c r="M242" s="5">
        <v>25.4</v>
      </c>
      <c r="N242" s="5">
        <v>14.3</v>
      </c>
      <c r="O242" s="5">
        <v>47.244</v>
      </c>
      <c r="P242" s="5">
        <v>16399518.168639997</v>
      </c>
      <c r="Q242" s="5">
        <v>293328.44559999998</v>
      </c>
      <c r="R242" s="5">
        <v>161412.58039999998</v>
      </c>
      <c r="S242" s="5">
        <v>39.878</v>
      </c>
      <c r="T242" s="5">
        <f t="shared" si="22"/>
        <v>1</v>
      </c>
      <c r="U242" s="5">
        <f t="shared" si="23"/>
        <v>1</v>
      </c>
      <c r="V242" s="5">
        <f t="shared" si="24"/>
        <v>1</v>
      </c>
      <c r="W242" s="5">
        <v>75.183999999999997</v>
      </c>
      <c r="X242" s="5">
        <v>0.67800000000000005</v>
      </c>
    </row>
    <row r="243" spans="1:24" x14ac:dyDescent="0.25">
      <c r="A243" s="5" t="s">
        <v>567</v>
      </c>
      <c r="B243" s="5">
        <v>80.956118336000003</v>
      </c>
      <c r="C243" s="5">
        <v>10322.56</v>
      </c>
      <c r="D243" s="6">
        <v>152.39999999999998</v>
      </c>
      <c r="E243" s="6">
        <v>101.6</v>
      </c>
      <c r="F243" s="5">
        <v>22.224999999999998</v>
      </c>
      <c r="G243" s="5">
        <f t="shared" si="19"/>
        <v>1</v>
      </c>
      <c r="H243" s="6" t="str">
        <f t="shared" si="20"/>
        <v>LLBB</v>
      </c>
      <c r="I243" s="5">
        <v>53.847999999999999</v>
      </c>
      <c r="J243" s="5">
        <f t="shared" si="21"/>
        <v>0</v>
      </c>
      <c r="K243" s="5">
        <v>1.43</v>
      </c>
      <c r="L243" s="5">
        <v>23059220.978239998</v>
      </c>
      <c r="M243" s="5">
        <v>25.4</v>
      </c>
      <c r="N243" s="5">
        <v>14.3</v>
      </c>
      <c r="O243" s="5">
        <v>47.244</v>
      </c>
      <c r="P243" s="5">
        <v>19479630.718079995</v>
      </c>
      <c r="Q243" s="5">
        <v>342489.63759999996</v>
      </c>
      <c r="R243" s="5">
        <v>183535.11679999996</v>
      </c>
      <c r="S243" s="5">
        <v>43.433999999999997</v>
      </c>
      <c r="T243" s="5">
        <f t="shared" si="22"/>
        <v>1</v>
      </c>
      <c r="U243" s="5">
        <f t="shared" si="23"/>
        <v>1</v>
      </c>
      <c r="V243" s="5">
        <f t="shared" si="24"/>
        <v>1</v>
      </c>
      <c r="W243" s="5">
        <v>77.215999999999994</v>
      </c>
      <c r="X243" s="5">
        <v>0.69399999999999995</v>
      </c>
    </row>
    <row r="244" spans="1:24" x14ac:dyDescent="0.25">
      <c r="A244" s="5" t="s">
        <v>568</v>
      </c>
      <c r="B244" s="5">
        <v>80.956118336000003</v>
      </c>
      <c r="C244" s="5">
        <v>10322.56</v>
      </c>
      <c r="D244" s="6">
        <v>152.39999999999998</v>
      </c>
      <c r="E244" s="6">
        <v>101.6</v>
      </c>
      <c r="F244" s="5">
        <v>22.224999999999998</v>
      </c>
      <c r="G244" s="5">
        <f t="shared" si="19"/>
        <v>1</v>
      </c>
      <c r="H244" s="6" t="str">
        <f t="shared" si="20"/>
        <v>LLBB</v>
      </c>
      <c r="I244" s="5">
        <v>53.847999999999999</v>
      </c>
      <c r="J244" s="5">
        <f t="shared" si="21"/>
        <v>0</v>
      </c>
      <c r="K244" s="5">
        <v>1.43</v>
      </c>
      <c r="L244" s="5">
        <v>23059220.978239998</v>
      </c>
      <c r="M244" s="5">
        <v>25.4</v>
      </c>
      <c r="N244" s="5">
        <v>14.3</v>
      </c>
      <c r="O244" s="5">
        <v>47.244</v>
      </c>
      <c r="P244" s="5">
        <v>23059220.978239998</v>
      </c>
      <c r="Q244" s="5">
        <v>391650.82959999994</v>
      </c>
      <c r="R244" s="5">
        <v>208115.71279999998</v>
      </c>
      <c r="S244" s="5">
        <v>47.244</v>
      </c>
      <c r="T244" s="5">
        <f t="shared" si="22"/>
        <v>1</v>
      </c>
      <c r="U244" s="5">
        <f t="shared" si="23"/>
        <v>1</v>
      </c>
      <c r="V244" s="5">
        <f t="shared" si="24"/>
        <v>1</v>
      </c>
      <c r="W244" s="5">
        <v>79.248000000000005</v>
      </c>
      <c r="X244" s="5">
        <v>0.71</v>
      </c>
    </row>
    <row r="245" spans="1:24" x14ac:dyDescent="0.25">
      <c r="A245" s="5" t="s">
        <v>569</v>
      </c>
      <c r="B245" s="5">
        <v>70.241337967999996</v>
      </c>
      <c r="C245" s="5">
        <v>8967.7240000000002</v>
      </c>
      <c r="D245" s="6">
        <v>152.39999999999998</v>
      </c>
      <c r="E245" s="6">
        <v>101.6</v>
      </c>
      <c r="F245" s="5">
        <v>19.049999999999997</v>
      </c>
      <c r="G245" s="5">
        <f t="shared" si="19"/>
        <v>1</v>
      </c>
      <c r="H245" s="6" t="str">
        <f t="shared" si="20"/>
        <v>LLBB</v>
      </c>
      <c r="I245" s="5">
        <v>52.577999999999996</v>
      </c>
      <c r="J245" s="5">
        <f t="shared" si="21"/>
        <v>0</v>
      </c>
      <c r="K245" s="5">
        <v>1.37</v>
      </c>
      <c r="L245" s="5">
        <v>20395339.854399998</v>
      </c>
      <c r="M245" s="5">
        <v>22.2</v>
      </c>
      <c r="N245" s="5">
        <v>12.5</v>
      </c>
      <c r="O245" s="5">
        <v>47.751999999999995</v>
      </c>
      <c r="P245" s="5">
        <v>13902129.615039999</v>
      </c>
      <c r="Q245" s="5">
        <v>244167.2536</v>
      </c>
      <c r="R245" s="5">
        <v>136831.98439999999</v>
      </c>
      <c r="S245" s="5">
        <v>39.369999999999997</v>
      </c>
      <c r="T245" s="5">
        <f t="shared" si="22"/>
        <v>1</v>
      </c>
      <c r="U245" s="5">
        <f t="shared" si="23"/>
        <v>1</v>
      </c>
      <c r="V245" s="5">
        <f t="shared" si="24"/>
        <v>1</v>
      </c>
      <c r="W245" s="5">
        <v>75.438000000000002</v>
      </c>
      <c r="X245" s="5">
        <v>0.67300000000000004</v>
      </c>
    </row>
    <row r="246" spans="1:24" x14ac:dyDescent="0.25">
      <c r="A246" s="5" t="s">
        <v>570</v>
      </c>
      <c r="B246" s="5">
        <v>70.241337967999996</v>
      </c>
      <c r="C246" s="5">
        <v>8967.7240000000002</v>
      </c>
      <c r="D246" s="6">
        <v>152.39999999999998</v>
      </c>
      <c r="E246" s="6">
        <v>101.6</v>
      </c>
      <c r="F246" s="5">
        <v>19.049999999999997</v>
      </c>
      <c r="G246" s="5">
        <f t="shared" si="19"/>
        <v>1</v>
      </c>
      <c r="H246" s="6" t="str">
        <f t="shared" si="20"/>
        <v>LLBB</v>
      </c>
      <c r="I246" s="5">
        <v>52.577999999999996</v>
      </c>
      <c r="J246" s="5">
        <f t="shared" si="21"/>
        <v>0</v>
      </c>
      <c r="K246" s="5">
        <v>1.37</v>
      </c>
      <c r="L246" s="5">
        <v>20395339.854399998</v>
      </c>
      <c r="M246" s="5">
        <v>22.2</v>
      </c>
      <c r="N246" s="5">
        <v>12.5</v>
      </c>
      <c r="O246" s="5">
        <v>47.751999999999995</v>
      </c>
      <c r="P246" s="5">
        <v>16316271.88352</v>
      </c>
      <c r="Q246" s="5">
        <v>286773.62</v>
      </c>
      <c r="R246" s="5">
        <v>153382.91903999998</v>
      </c>
      <c r="S246" s="5">
        <v>42.671999999999997</v>
      </c>
      <c r="T246" s="5">
        <f t="shared" si="22"/>
        <v>1</v>
      </c>
      <c r="U246" s="5">
        <f t="shared" si="23"/>
        <v>1</v>
      </c>
      <c r="V246" s="5">
        <f t="shared" si="24"/>
        <v>1</v>
      </c>
      <c r="W246" s="5">
        <v>77.215999999999994</v>
      </c>
      <c r="X246" s="5">
        <v>0.68799999999999994</v>
      </c>
    </row>
    <row r="247" spans="1:24" x14ac:dyDescent="0.25">
      <c r="A247" s="5" t="s">
        <v>571</v>
      </c>
      <c r="B247" s="5">
        <v>70.241337967999996</v>
      </c>
      <c r="C247" s="5">
        <v>8967.7240000000002</v>
      </c>
      <c r="D247" s="6">
        <v>152.39999999999998</v>
      </c>
      <c r="E247" s="6">
        <v>101.6</v>
      </c>
      <c r="F247" s="5">
        <v>19.049999999999997</v>
      </c>
      <c r="G247" s="5">
        <f t="shared" si="19"/>
        <v>1</v>
      </c>
      <c r="H247" s="6" t="str">
        <f t="shared" si="20"/>
        <v>LLBB</v>
      </c>
      <c r="I247" s="5">
        <v>52.577999999999996</v>
      </c>
      <c r="J247" s="5">
        <f t="shared" si="21"/>
        <v>0</v>
      </c>
      <c r="K247" s="5">
        <v>1.37</v>
      </c>
      <c r="L247" s="5">
        <v>20395339.854399998</v>
      </c>
      <c r="M247" s="5">
        <v>22.2</v>
      </c>
      <c r="N247" s="5">
        <v>12.5</v>
      </c>
      <c r="O247" s="5">
        <v>47.751999999999995</v>
      </c>
      <c r="P247" s="5">
        <v>19354761.290399998</v>
      </c>
      <c r="Q247" s="5">
        <v>329379.98639999999</v>
      </c>
      <c r="R247" s="5">
        <v>173702.87839999999</v>
      </c>
      <c r="S247" s="5">
        <v>46.481999999999999</v>
      </c>
      <c r="T247" s="5">
        <f t="shared" si="22"/>
        <v>1</v>
      </c>
      <c r="U247" s="5">
        <f t="shared" si="23"/>
        <v>1</v>
      </c>
      <c r="V247" s="5">
        <f t="shared" si="24"/>
        <v>1</v>
      </c>
      <c r="W247" s="5">
        <v>79.248000000000005</v>
      </c>
      <c r="X247" s="5">
        <v>0.70499999999999996</v>
      </c>
    </row>
    <row r="248" spans="1:24" x14ac:dyDescent="0.25">
      <c r="A248" s="5" t="s">
        <v>572</v>
      </c>
      <c r="B248" s="5">
        <v>59.526557599999997</v>
      </c>
      <c r="C248" s="5">
        <v>7548.3719999999994</v>
      </c>
      <c r="D248" s="6">
        <v>152.39999999999998</v>
      </c>
      <c r="E248" s="6">
        <v>101.6</v>
      </c>
      <c r="F248" s="5">
        <v>15.875</v>
      </c>
      <c r="G248" s="5">
        <f t="shared" si="19"/>
        <v>1</v>
      </c>
      <c r="H248" s="6" t="str">
        <f t="shared" si="20"/>
        <v>LLBB</v>
      </c>
      <c r="I248" s="5">
        <v>51.561999999999991</v>
      </c>
      <c r="J248" s="5">
        <f t="shared" si="21"/>
        <v>0</v>
      </c>
      <c r="K248" s="5">
        <v>1.31</v>
      </c>
      <c r="L248" s="5">
        <v>17481719.8752</v>
      </c>
      <c r="M248" s="5">
        <v>18.899999999999999</v>
      </c>
      <c r="N248" s="5">
        <v>10.6</v>
      </c>
      <c r="O248" s="5">
        <v>48.005999999999993</v>
      </c>
      <c r="P248" s="5">
        <v>11404741.061439998</v>
      </c>
      <c r="Q248" s="5">
        <v>198283.47439999998</v>
      </c>
      <c r="R248" s="5">
        <v>112251.38839999998</v>
      </c>
      <c r="S248" s="5">
        <v>38.862000000000002</v>
      </c>
      <c r="T248" s="5">
        <f t="shared" si="22"/>
        <v>1</v>
      </c>
      <c r="U248" s="5">
        <f t="shared" si="23"/>
        <v>1</v>
      </c>
      <c r="V248" s="5">
        <f t="shared" si="24"/>
        <v>1</v>
      </c>
      <c r="W248" s="5">
        <v>75.691999999999993</v>
      </c>
      <c r="X248" s="5">
        <v>0.66900000000000004</v>
      </c>
    </row>
    <row r="249" spans="1:24" x14ac:dyDescent="0.25">
      <c r="A249" s="5" t="s">
        <v>573</v>
      </c>
      <c r="B249" s="5">
        <v>59.526557599999997</v>
      </c>
      <c r="C249" s="5">
        <v>7548.3719999999994</v>
      </c>
      <c r="D249" s="6">
        <v>152.39999999999998</v>
      </c>
      <c r="E249" s="6">
        <v>101.6</v>
      </c>
      <c r="F249" s="5">
        <v>15.875</v>
      </c>
      <c r="G249" s="5">
        <f t="shared" si="19"/>
        <v>1</v>
      </c>
      <c r="H249" s="6" t="str">
        <f t="shared" si="20"/>
        <v>LLBB</v>
      </c>
      <c r="I249" s="5">
        <v>51.561999999999991</v>
      </c>
      <c r="J249" s="5">
        <f t="shared" si="21"/>
        <v>0</v>
      </c>
      <c r="K249" s="5">
        <v>1.31</v>
      </c>
      <c r="L249" s="5">
        <v>17481719.8752</v>
      </c>
      <c r="M249" s="5">
        <v>18.899999999999999</v>
      </c>
      <c r="N249" s="5">
        <v>10.6</v>
      </c>
      <c r="O249" s="5">
        <v>48.005999999999993</v>
      </c>
      <c r="P249" s="5">
        <v>13402651.90432</v>
      </c>
      <c r="Q249" s="5">
        <v>234335.01519999999</v>
      </c>
      <c r="R249" s="5">
        <v>126016.52215999999</v>
      </c>
      <c r="S249" s="5">
        <v>42.163999999999994</v>
      </c>
      <c r="T249" s="5">
        <f t="shared" si="22"/>
        <v>1</v>
      </c>
      <c r="U249" s="5">
        <f t="shared" si="23"/>
        <v>1</v>
      </c>
      <c r="V249" s="5">
        <f t="shared" si="24"/>
        <v>1</v>
      </c>
      <c r="W249" s="5">
        <v>77.469999999999985</v>
      </c>
      <c r="X249" s="5">
        <v>0.68400000000000005</v>
      </c>
    </row>
    <row r="250" spans="1:24" x14ac:dyDescent="0.25">
      <c r="A250" s="5" t="s">
        <v>574</v>
      </c>
      <c r="B250" s="5">
        <v>59.526557599999997</v>
      </c>
      <c r="C250" s="5">
        <v>7548.3719999999994</v>
      </c>
      <c r="D250" s="6">
        <v>152.39999999999998</v>
      </c>
      <c r="E250" s="6">
        <v>101.6</v>
      </c>
      <c r="F250" s="5">
        <v>15.875</v>
      </c>
      <c r="G250" s="5">
        <f t="shared" si="19"/>
        <v>1</v>
      </c>
      <c r="H250" s="6" t="str">
        <f t="shared" si="20"/>
        <v>LLBB</v>
      </c>
      <c r="I250" s="5">
        <v>51.561999999999991</v>
      </c>
      <c r="J250" s="5">
        <f t="shared" si="21"/>
        <v>0</v>
      </c>
      <c r="K250" s="5">
        <v>1.31</v>
      </c>
      <c r="L250" s="5">
        <v>17481719.8752</v>
      </c>
      <c r="M250" s="5">
        <v>18.899999999999999</v>
      </c>
      <c r="N250" s="5">
        <v>10.6</v>
      </c>
      <c r="O250" s="5">
        <v>48.005999999999993</v>
      </c>
      <c r="P250" s="5">
        <v>15775171.030239997</v>
      </c>
      <c r="Q250" s="5">
        <v>270386.55599999998</v>
      </c>
      <c r="R250" s="5">
        <v>141911.97423999998</v>
      </c>
      <c r="S250" s="5">
        <v>45.72</v>
      </c>
      <c r="T250" s="5">
        <f t="shared" si="22"/>
        <v>1</v>
      </c>
      <c r="U250" s="5">
        <f t="shared" si="23"/>
        <v>1</v>
      </c>
      <c r="V250" s="5">
        <f t="shared" si="24"/>
        <v>1</v>
      </c>
      <c r="W250" s="5">
        <v>79.501999999999995</v>
      </c>
      <c r="X250" s="5">
        <v>0.7</v>
      </c>
    </row>
    <row r="251" spans="1:24" x14ac:dyDescent="0.25">
      <c r="A251" s="5" t="s">
        <v>575</v>
      </c>
      <c r="B251" s="5">
        <v>53.871534628000006</v>
      </c>
      <c r="C251" s="5">
        <v>6838.695999999999</v>
      </c>
      <c r="D251" s="6">
        <v>152.39999999999998</v>
      </c>
      <c r="E251" s="6">
        <v>101.6</v>
      </c>
      <c r="F251" s="5">
        <v>14.300199999999998</v>
      </c>
      <c r="G251" s="5">
        <f t="shared" si="19"/>
        <v>1</v>
      </c>
      <c r="H251" s="6" t="str">
        <f t="shared" si="20"/>
        <v>LLBB</v>
      </c>
      <c r="I251" s="5">
        <v>50.8</v>
      </c>
      <c r="J251" s="5">
        <f t="shared" si="21"/>
        <v>0</v>
      </c>
      <c r="K251" s="5">
        <v>1.28</v>
      </c>
      <c r="L251" s="5">
        <v>15983286.743039997</v>
      </c>
      <c r="M251" s="5">
        <v>17.2</v>
      </c>
      <c r="N251" s="5">
        <v>9.6199999999999992</v>
      </c>
      <c r="O251" s="5">
        <v>48.26</v>
      </c>
      <c r="P251" s="5">
        <v>10197669.927199999</v>
      </c>
      <c r="Q251" s="5">
        <v>173702.87839999999</v>
      </c>
      <c r="R251" s="5">
        <v>100288.83167999999</v>
      </c>
      <c r="S251" s="5">
        <v>38.607999999999997</v>
      </c>
      <c r="T251" s="5">
        <f t="shared" si="22"/>
        <v>1</v>
      </c>
      <c r="U251" s="5">
        <f t="shared" si="23"/>
        <v>1</v>
      </c>
      <c r="V251" s="5">
        <f t="shared" si="24"/>
        <v>1</v>
      </c>
      <c r="W251" s="5">
        <v>75.691999999999993</v>
      </c>
      <c r="X251" s="5">
        <v>0.66700000000000004</v>
      </c>
    </row>
    <row r="252" spans="1:24" x14ac:dyDescent="0.25">
      <c r="A252" s="5" t="s">
        <v>576</v>
      </c>
      <c r="B252" s="5">
        <v>53.871534628000006</v>
      </c>
      <c r="C252" s="5">
        <v>6838.695999999999</v>
      </c>
      <c r="D252" s="6">
        <v>152.39999999999998</v>
      </c>
      <c r="E252" s="6">
        <v>101.6</v>
      </c>
      <c r="F252" s="5">
        <v>14.300199999999998</v>
      </c>
      <c r="G252" s="5">
        <f t="shared" si="19"/>
        <v>1</v>
      </c>
      <c r="H252" s="6" t="str">
        <f t="shared" si="20"/>
        <v>LLBB</v>
      </c>
      <c r="I252" s="5">
        <v>50.8</v>
      </c>
      <c r="J252" s="5">
        <f t="shared" si="21"/>
        <v>0</v>
      </c>
      <c r="K252" s="5">
        <v>1.28</v>
      </c>
      <c r="L252" s="5">
        <v>15983286.743039997</v>
      </c>
      <c r="M252" s="5">
        <v>17.2</v>
      </c>
      <c r="N252" s="5">
        <v>9.6199999999999992</v>
      </c>
      <c r="O252" s="5">
        <v>48.26</v>
      </c>
      <c r="P252" s="5">
        <v>12029088.199839998</v>
      </c>
      <c r="Q252" s="5">
        <v>206477.00639999998</v>
      </c>
      <c r="R252" s="5">
        <v>113070.74159999999</v>
      </c>
      <c r="S252" s="5">
        <v>41.91</v>
      </c>
      <c r="T252" s="5">
        <f t="shared" si="22"/>
        <v>1</v>
      </c>
      <c r="U252" s="5">
        <f t="shared" si="23"/>
        <v>1</v>
      </c>
      <c r="V252" s="5">
        <f t="shared" si="24"/>
        <v>1</v>
      </c>
      <c r="W252" s="5">
        <v>77.469999999999985</v>
      </c>
      <c r="X252" s="5">
        <v>0.68200000000000005</v>
      </c>
    </row>
    <row r="253" spans="1:24" x14ac:dyDescent="0.25">
      <c r="A253" s="5" t="s">
        <v>577</v>
      </c>
      <c r="B253" s="5">
        <v>53.871534628000006</v>
      </c>
      <c r="C253" s="5">
        <v>6838.695999999999</v>
      </c>
      <c r="D253" s="6">
        <v>152.39999999999998</v>
      </c>
      <c r="E253" s="6">
        <v>101.6</v>
      </c>
      <c r="F253" s="5">
        <v>14.300199999999998</v>
      </c>
      <c r="G253" s="5">
        <f t="shared" si="19"/>
        <v>1</v>
      </c>
      <c r="H253" s="6" t="str">
        <f t="shared" si="20"/>
        <v>LLBB</v>
      </c>
      <c r="I253" s="5">
        <v>50.8</v>
      </c>
      <c r="J253" s="5">
        <f t="shared" si="21"/>
        <v>0</v>
      </c>
      <c r="K253" s="5">
        <v>1.28</v>
      </c>
      <c r="L253" s="5">
        <v>15983286.743039997</v>
      </c>
      <c r="M253" s="5">
        <v>17.2</v>
      </c>
      <c r="N253" s="5">
        <v>9.6199999999999992</v>
      </c>
      <c r="O253" s="5">
        <v>48.26</v>
      </c>
      <c r="P253" s="5">
        <v>14151868.470399998</v>
      </c>
      <c r="Q253" s="5">
        <v>239251.13439999998</v>
      </c>
      <c r="R253" s="5">
        <v>127327.48727999999</v>
      </c>
      <c r="S253" s="5">
        <v>45.466000000000001</v>
      </c>
      <c r="T253" s="5">
        <f t="shared" si="22"/>
        <v>1</v>
      </c>
      <c r="U253" s="5">
        <f t="shared" si="23"/>
        <v>1</v>
      </c>
      <c r="V253" s="5">
        <f t="shared" si="24"/>
        <v>1</v>
      </c>
      <c r="W253" s="5">
        <v>79.501999999999995</v>
      </c>
      <c r="X253" s="5">
        <v>0.69699999999999995</v>
      </c>
    </row>
    <row r="254" spans="1:24" x14ac:dyDescent="0.25">
      <c r="A254" s="5" t="s">
        <v>578</v>
      </c>
      <c r="B254" s="5">
        <v>48.216511655999994</v>
      </c>
      <c r="C254" s="5">
        <v>6129.0199999999995</v>
      </c>
      <c r="D254" s="6">
        <v>152.39999999999998</v>
      </c>
      <c r="E254" s="6">
        <v>101.6</v>
      </c>
      <c r="F254" s="5">
        <v>12.7</v>
      </c>
      <c r="G254" s="5">
        <f t="shared" si="19"/>
        <v>1</v>
      </c>
      <c r="H254" s="6" t="str">
        <f t="shared" si="20"/>
        <v>LLBB</v>
      </c>
      <c r="I254" s="5">
        <v>50.291999999999994</v>
      </c>
      <c r="J254" s="5">
        <f t="shared" si="21"/>
        <v>0</v>
      </c>
      <c r="K254" s="5">
        <v>1.25</v>
      </c>
      <c r="L254" s="5">
        <v>14401607.325759999</v>
      </c>
      <c r="M254" s="5">
        <v>15.4</v>
      </c>
      <c r="N254" s="5">
        <v>8.6199999999999992</v>
      </c>
      <c r="O254" s="5">
        <v>48.513999999999996</v>
      </c>
      <c r="P254" s="5">
        <v>9032221.9355199989</v>
      </c>
      <c r="Q254" s="5">
        <v>152727.43648</v>
      </c>
      <c r="R254" s="5">
        <v>88817.886879999991</v>
      </c>
      <c r="S254" s="5">
        <v>38.353999999999999</v>
      </c>
      <c r="T254" s="5">
        <f t="shared" si="22"/>
        <v>1</v>
      </c>
      <c r="U254" s="5">
        <f t="shared" si="23"/>
        <v>1</v>
      </c>
      <c r="V254" s="5">
        <f t="shared" si="24"/>
        <v>1</v>
      </c>
      <c r="W254" s="5">
        <v>75.945999999999998</v>
      </c>
      <c r="X254" s="5">
        <v>0.66500000000000004</v>
      </c>
    </row>
    <row r="255" spans="1:24" x14ac:dyDescent="0.25">
      <c r="A255" s="5" t="s">
        <v>579</v>
      </c>
      <c r="B255" s="5">
        <v>48.216511655999994</v>
      </c>
      <c r="C255" s="5">
        <v>6129.0199999999995</v>
      </c>
      <c r="D255" s="6">
        <v>152.39999999999998</v>
      </c>
      <c r="E255" s="6">
        <v>101.6</v>
      </c>
      <c r="F255" s="5">
        <v>12.7</v>
      </c>
      <c r="G255" s="5">
        <f t="shared" si="19"/>
        <v>1</v>
      </c>
      <c r="H255" s="6" t="str">
        <f t="shared" si="20"/>
        <v>LLBB</v>
      </c>
      <c r="I255" s="5">
        <v>50.291999999999994</v>
      </c>
      <c r="J255" s="5">
        <f t="shared" si="21"/>
        <v>0</v>
      </c>
      <c r="K255" s="5">
        <v>1.25</v>
      </c>
      <c r="L255" s="5">
        <v>14401607.325759999</v>
      </c>
      <c r="M255" s="5">
        <v>15.4</v>
      </c>
      <c r="N255" s="5">
        <v>8.6199999999999992</v>
      </c>
      <c r="O255" s="5">
        <v>48.513999999999996</v>
      </c>
      <c r="P255" s="5">
        <v>10655524.49536</v>
      </c>
      <c r="Q255" s="5">
        <v>181896.41039999996</v>
      </c>
      <c r="R255" s="5">
        <v>100124.96103999999</v>
      </c>
      <c r="S255" s="5">
        <v>41.655999999999992</v>
      </c>
      <c r="T255" s="5">
        <f t="shared" si="22"/>
        <v>1</v>
      </c>
      <c r="U255" s="5">
        <f t="shared" si="23"/>
        <v>1</v>
      </c>
      <c r="V255" s="5">
        <f t="shared" si="24"/>
        <v>1</v>
      </c>
      <c r="W255" s="5">
        <v>77.469999999999985</v>
      </c>
      <c r="X255" s="5">
        <v>0.67900000000000005</v>
      </c>
    </row>
    <row r="256" spans="1:24" x14ac:dyDescent="0.25">
      <c r="A256" s="5" t="s">
        <v>580</v>
      </c>
      <c r="B256" s="5">
        <v>48.216511655999994</v>
      </c>
      <c r="C256" s="5">
        <v>6129.0199999999995</v>
      </c>
      <c r="D256" s="6">
        <v>152.39999999999998</v>
      </c>
      <c r="E256" s="6">
        <v>101.6</v>
      </c>
      <c r="F256" s="5">
        <v>12.7</v>
      </c>
      <c r="G256" s="5">
        <f t="shared" si="19"/>
        <v>1</v>
      </c>
      <c r="H256" s="6" t="str">
        <f t="shared" si="20"/>
        <v>LLBB</v>
      </c>
      <c r="I256" s="5">
        <v>50.291999999999994</v>
      </c>
      <c r="J256" s="5">
        <f t="shared" si="21"/>
        <v>0</v>
      </c>
      <c r="K256" s="5">
        <v>1.25</v>
      </c>
      <c r="L256" s="5">
        <v>14401607.325759999</v>
      </c>
      <c r="M256" s="5">
        <v>15.4</v>
      </c>
      <c r="N256" s="5">
        <v>8.6199999999999992</v>
      </c>
      <c r="O256" s="5">
        <v>48.513999999999996</v>
      </c>
      <c r="P256" s="5">
        <v>12403696.482879998</v>
      </c>
      <c r="Q256" s="5">
        <v>211393.1256</v>
      </c>
      <c r="R256" s="5">
        <v>111595.90583999998</v>
      </c>
      <c r="S256" s="5">
        <v>44.957999999999998</v>
      </c>
      <c r="T256" s="5">
        <f t="shared" si="22"/>
        <v>1</v>
      </c>
      <c r="U256" s="5">
        <f t="shared" si="23"/>
        <v>1</v>
      </c>
      <c r="V256" s="5">
        <f t="shared" si="24"/>
        <v>1</v>
      </c>
      <c r="W256" s="5">
        <v>79.501999999999995</v>
      </c>
      <c r="X256" s="5">
        <v>0.69499999999999995</v>
      </c>
    </row>
    <row r="257" spans="1:24" x14ac:dyDescent="0.25">
      <c r="A257" s="5" t="s">
        <v>581</v>
      </c>
      <c r="B257" s="5">
        <v>42.561488684000004</v>
      </c>
      <c r="C257" s="5">
        <v>5393.5375999999997</v>
      </c>
      <c r="D257" s="6">
        <v>152.39999999999998</v>
      </c>
      <c r="E257" s="6">
        <v>101.6</v>
      </c>
      <c r="F257" s="5">
        <v>11.1252</v>
      </c>
      <c r="G257" s="5">
        <f t="shared" si="19"/>
        <v>1</v>
      </c>
      <c r="H257" s="6" t="str">
        <f t="shared" si="20"/>
        <v>LLBB</v>
      </c>
      <c r="I257" s="5">
        <v>49.529999999999994</v>
      </c>
      <c r="J257" s="5">
        <f t="shared" si="21"/>
        <v>0</v>
      </c>
      <c r="K257" s="5">
        <v>1.22</v>
      </c>
      <c r="L257" s="5">
        <v>12819927.90848</v>
      </c>
      <c r="M257" s="5">
        <v>13.6</v>
      </c>
      <c r="N257" s="5">
        <v>7.62</v>
      </c>
      <c r="O257" s="5">
        <v>48.767999999999994</v>
      </c>
      <c r="P257" s="5">
        <v>7825150.8012799993</v>
      </c>
      <c r="Q257" s="5">
        <v>131096.51199999999</v>
      </c>
      <c r="R257" s="5">
        <v>77019.200799999991</v>
      </c>
      <c r="S257" s="5">
        <v>38.099999999999994</v>
      </c>
      <c r="T257" s="5">
        <f t="shared" si="22"/>
        <v>1</v>
      </c>
      <c r="U257" s="5">
        <f t="shared" si="23"/>
        <v>1</v>
      </c>
      <c r="V257" s="5">
        <f t="shared" si="24"/>
        <v>1</v>
      </c>
      <c r="W257" s="5">
        <v>75.945999999999998</v>
      </c>
      <c r="X257" s="5">
        <v>0.66300000000000003</v>
      </c>
    </row>
    <row r="258" spans="1:24" x14ac:dyDescent="0.25">
      <c r="A258" s="5" t="s">
        <v>582</v>
      </c>
      <c r="B258" s="5">
        <v>42.561488684000004</v>
      </c>
      <c r="C258" s="5">
        <v>5393.5375999999997</v>
      </c>
      <c r="D258" s="6">
        <v>152.39999999999998</v>
      </c>
      <c r="E258" s="6">
        <v>101.6</v>
      </c>
      <c r="F258" s="5">
        <v>11.1252</v>
      </c>
      <c r="G258" s="5">
        <f t="shared" si="19"/>
        <v>1</v>
      </c>
      <c r="H258" s="6" t="str">
        <f t="shared" si="20"/>
        <v>LLBB</v>
      </c>
      <c r="I258" s="5">
        <v>49.529999999999994</v>
      </c>
      <c r="J258" s="5">
        <f t="shared" si="21"/>
        <v>0</v>
      </c>
      <c r="K258" s="5">
        <v>1.22</v>
      </c>
      <c r="L258" s="5">
        <v>12819927.90848</v>
      </c>
      <c r="M258" s="5">
        <v>13.6</v>
      </c>
      <c r="N258" s="5">
        <v>7.62</v>
      </c>
      <c r="O258" s="5">
        <v>48.767999999999994</v>
      </c>
      <c r="P258" s="5">
        <v>9115468.2206399981</v>
      </c>
      <c r="Q258" s="5">
        <v>156824.20247999998</v>
      </c>
      <c r="R258" s="5">
        <v>85704.344719999994</v>
      </c>
      <c r="S258" s="5">
        <v>41.148000000000003</v>
      </c>
      <c r="T258" s="5">
        <f t="shared" si="22"/>
        <v>1</v>
      </c>
      <c r="U258" s="5">
        <f t="shared" si="23"/>
        <v>1</v>
      </c>
      <c r="V258" s="5">
        <f t="shared" si="24"/>
        <v>1</v>
      </c>
      <c r="W258" s="5">
        <v>77.724000000000004</v>
      </c>
      <c r="X258" s="5">
        <v>0.67800000000000005</v>
      </c>
    </row>
    <row r="259" spans="1:24" x14ac:dyDescent="0.25">
      <c r="A259" s="5" t="s">
        <v>583</v>
      </c>
      <c r="B259" s="5">
        <v>42.561488684000004</v>
      </c>
      <c r="C259" s="5">
        <v>5393.5375999999997</v>
      </c>
      <c r="D259" s="6">
        <v>152.39999999999998</v>
      </c>
      <c r="E259" s="6">
        <v>101.6</v>
      </c>
      <c r="F259" s="5">
        <v>11.1252</v>
      </c>
      <c r="G259" s="5">
        <f t="shared" si="19"/>
        <v>1</v>
      </c>
      <c r="H259" s="6" t="str">
        <f t="shared" si="20"/>
        <v>LLBB</v>
      </c>
      <c r="I259" s="5">
        <v>49.529999999999994</v>
      </c>
      <c r="J259" s="5">
        <f t="shared" si="21"/>
        <v>0</v>
      </c>
      <c r="K259" s="5">
        <v>1.22</v>
      </c>
      <c r="L259" s="5">
        <v>12819927.90848</v>
      </c>
      <c r="M259" s="5">
        <v>13.6</v>
      </c>
      <c r="N259" s="5">
        <v>7.62</v>
      </c>
      <c r="O259" s="5">
        <v>48.767999999999994</v>
      </c>
      <c r="P259" s="5">
        <v>10780393.923039999</v>
      </c>
      <c r="Q259" s="5">
        <v>181896.41039999996</v>
      </c>
      <c r="R259" s="5">
        <v>97011.418879999983</v>
      </c>
      <c r="S259" s="5">
        <v>44.704000000000001</v>
      </c>
      <c r="T259" s="5">
        <f t="shared" si="22"/>
        <v>1</v>
      </c>
      <c r="U259" s="5">
        <f t="shared" si="23"/>
        <v>1</v>
      </c>
      <c r="V259" s="5">
        <f t="shared" si="24"/>
        <v>1</v>
      </c>
      <c r="W259" s="5">
        <v>79.501999999999995</v>
      </c>
      <c r="X259" s="5">
        <v>0.69299999999999995</v>
      </c>
    </row>
    <row r="260" spans="1:24" x14ac:dyDescent="0.25">
      <c r="A260" s="5" t="s">
        <v>584</v>
      </c>
      <c r="B260" s="5">
        <v>36.608832923999998</v>
      </c>
      <c r="C260" s="5">
        <v>4658.0551999999998</v>
      </c>
      <c r="D260" s="6">
        <v>152.39999999999998</v>
      </c>
      <c r="E260" s="6">
        <v>101.6</v>
      </c>
      <c r="F260" s="5">
        <v>9.5249999999999986</v>
      </c>
      <c r="G260" s="5">
        <f t="shared" ref="G260:G323" si="25">G259</f>
        <v>1</v>
      </c>
      <c r="H260" s="6" t="str">
        <f t="shared" ref="H260:H323" si="26">H259</f>
        <v>LLBB</v>
      </c>
      <c r="I260" s="5">
        <v>49.021999999999998</v>
      </c>
      <c r="J260" s="5">
        <f t="shared" ref="J260:J323" si="27">J259</f>
        <v>0</v>
      </c>
      <c r="K260" s="5">
        <v>1.19</v>
      </c>
      <c r="L260" s="5">
        <v>11155002.206079999</v>
      </c>
      <c r="M260" s="5">
        <v>11.8</v>
      </c>
      <c r="N260" s="5">
        <v>6.6</v>
      </c>
      <c r="O260" s="5">
        <v>49.021999999999998</v>
      </c>
      <c r="P260" s="5">
        <v>6659702.8095999993</v>
      </c>
      <c r="Q260" s="5">
        <v>110448.81135999999</v>
      </c>
      <c r="R260" s="5">
        <v>65548.255999999994</v>
      </c>
      <c r="S260" s="5">
        <v>37.845999999999997</v>
      </c>
      <c r="T260" s="5">
        <f t="shared" ref="T260:T323" si="28">T259</f>
        <v>1</v>
      </c>
      <c r="U260" s="5">
        <f t="shared" ref="U260:U323" si="29">U259</f>
        <v>1</v>
      </c>
      <c r="V260" s="5">
        <f t="shared" ref="V260:V323" si="30">V259</f>
        <v>1</v>
      </c>
      <c r="W260" s="5">
        <v>75.945999999999998</v>
      </c>
      <c r="X260" s="5">
        <v>0.66200000000000003</v>
      </c>
    </row>
    <row r="261" spans="1:24" x14ac:dyDescent="0.25">
      <c r="A261" s="5" t="s">
        <v>585</v>
      </c>
      <c r="B261" s="5">
        <v>36.608832923999998</v>
      </c>
      <c r="C261" s="5">
        <v>4658.0551999999998</v>
      </c>
      <c r="D261" s="6">
        <v>152.39999999999998</v>
      </c>
      <c r="E261" s="6">
        <v>101.6</v>
      </c>
      <c r="F261" s="5">
        <v>9.5249999999999986</v>
      </c>
      <c r="G261" s="5">
        <f t="shared" si="25"/>
        <v>1</v>
      </c>
      <c r="H261" s="6" t="str">
        <f t="shared" si="26"/>
        <v>LLBB</v>
      </c>
      <c r="I261" s="5">
        <v>49.021999999999998</v>
      </c>
      <c r="J261" s="5">
        <f t="shared" si="27"/>
        <v>0</v>
      </c>
      <c r="K261" s="5">
        <v>1.19</v>
      </c>
      <c r="L261" s="5">
        <v>11155002.206079999</v>
      </c>
      <c r="M261" s="5">
        <v>11.8</v>
      </c>
      <c r="N261" s="5">
        <v>6.6</v>
      </c>
      <c r="O261" s="5">
        <v>49.021999999999998</v>
      </c>
      <c r="P261" s="5">
        <v>7783527.6587199988</v>
      </c>
      <c r="Q261" s="5">
        <v>132571.34775999998</v>
      </c>
      <c r="R261" s="5">
        <v>73250.17607999999</v>
      </c>
      <c r="S261" s="5">
        <v>40.893999999999998</v>
      </c>
      <c r="T261" s="5">
        <f t="shared" si="28"/>
        <v>1</v>
      </c>
      <c r="U261" s="5">
        <f t="shared" si="29"/>
        <v>1</v>
      </c>
      <c r="V261" s="5">
        <f t="shared" si="30"/>
        <v>1</v>
      </c>
      <c r="W261" s="5">
        <v>77.724000000000004</v>
      </c>
      <c r="X261" s="5">
        <v>0.67600000000000005</v>
      </c>
    </row>
    <row r="262" spans="1:24" x14ac:dyDescent="0.25">
      <c r="A262" s="5" t="s">
        <v>586</v>
      </c>
      <c r="B262" s="5">
        <v>36.608832923999998</v>
      </c>
      <c r="C262" s="5">
        <v>4658.0551999999998</v>
      </c>
      <c r="D262" s="6">
        <v>152.39999999999998</v>
      </c>
      <c r="E262" s="6">
        <v>101.6</v>
      </c>
      <c r="F262" s="5">
        <v>9.5249999999999986</v>
      </c>
      <c r="G262" s="5">
        <f t="shared" si="25"/>
        <v>1</v>
      </c>
      <c r="H262" s="6" t="str">
        <f t="shared" si="26"/>
        <v>LLBB</v>
      </c>
      <c r="I262" s="5">
        <v>49.021999999999998</v>
      </c>
      <c r="J262" s="5">
        <f t="shared" si="27"/>
        <v>0</v>
      </c>
      <c r="K262" s="5">
        <v>1.19</v>
      </c>
      <c r="L262" s="5">
        <v>11155002.206079999</v>
      </c>
      <c r="M262" s="5">
        <v>11.8</v>
      </c>
      <c r="N262" s="5">
        <v>6.6</v>
      </c>
      <c r="O262" s="5">
        <v>49.021999999999998</v>
      </c>
      <c r="P262" s="5">
        <v>9198714.5057599992</v>
      </c>
      <c r="Q262" s="5">
        <v>154693.88415999999</v>
      </c>
      <c r="R262" s="5">
        <v>82754.67319999999</v>
      </c>
      <c r="S262" s="5">
        <v>44.449999999999996</v>
      </c>
      <c r="T262" s="5">
        <f t="shared" si="28"/>
        <v>1</v>
      </c>
      <c r="U262" s="5">
        <f t="shared" si="29"/>
        <v>1</v>
      </c>
      <c r="V262" s="5">
        <f t="shared" si="30"/>
        <v>1</v>
      </c>
      <c r="W262" s="5">
        <v>79.501999999999995</v>
      </c>
      <c r="X262" s="5">
        <v>0.69099999999999995</v>
      </c>
    </row>
    <row r="263" spans="1:24" x14ac:dyDescent="0.25">
      <c r="A263" s="5" t="s">
        <v>587</v>
      </c>
      <c r="B263" s="5">
        <v>30.656177164000002</v>
      </c>
      <c r="C263" s="5">
        <v>3909.6695999999997</v>
      </c>
      <c r="D263" s="6">
        <v>152.39999999999998</v>
      </c>
      <c r="E263" s="6">
        <v>101.6</v>
      </c>
      <c r="F263" s="5">
        <v>7.9501999999999997</v>
      </c>
      <c r="G263" s="5">
        <f t="shared" si="25"/>
        <v>1</v>
      </c>
      <c r="H263" s="6" t="str">
        <f t="shared" si="26"/>
        <v>LLBB</v>
      </c>
      <c r="I263" s="5">
        <v>48.26</v>
      </c>
      <c r="J263" s="5">
        <f t="shared" si="27"/>
        <v>0</v>
      </c>
      <c r="K263" s="5">
        <v>1.1499999999999999</v>
      </c>
      <c r="L263" s="5">
        <v>9490076.5036800001</v>
      </c>
      <c r="M263" s="5">
        <v>9.92</v>
      </c>
      <c r="N263" s="5">
        <v>5.54</v>
      </c>
      <c r="O263" s="5">
        <v>49.275999999999996</v>
      </c>
      <c r="P263" s="5">
        <v>5535877.9604799999</v>
      </c>
      <c r="Q263" s="5">
        <v>90128.851999999984</v>
      </c>
      <c r="R263" s="5">
        <v>54405.052479999991</v>
      </c>
      <c r="S263" s="5">
        <v>37.591999999999999</v>
      </c>
      <c r="T263" s="5">
        <f t="shared" si="28"/>
        <v>1</v>
      </c>
      <c r="U263" s="5">
        <f t="shared" si="29"/>
        <v>1</v>
      </c>
      <c r="V263" s="5">
        <f t="shared" si="30"/>
        <v>1</v>
      </c>
      <c r="W263" s="5">
        <v>76.199999999999989</v>
      </c>
      <c r="X263" s="5">
        <v>0.66100000000000003</v>
      </c>
    </row>
    <row r="264" spans="1:24" x14ac:dyDescent="0.25">
      <c r="A264" s="5" t="s">
        <v>588</v>
      </c>
      <c r="B264" s="5">
        <v>30.656177164000002</v>
      </c>
      <c r="C264" s="5">
        <v>3909.6695999999997</v>
      </c>
      <c r="D264" s="6">
        <v>152.39999999999998</v>
      </c>
      <c r="E264" s="6">
        <v>101.6</v>
      </c>
      <c r="F264" s="5">
        <v>7.9501999999999997</v>
      </c>
      <c r="G264" s="5">
        <f t="shared" si="25"/>
        <v>1</v>
      </c>
      <c r="H264" s="6" t="str">
        <f t="shared" si="26"/>
        <v>LLBB</v>
      </c>
      <c r="I264" s="5">
        <v>48.26</v>
      </c>
      <c r="J264" s="5">
        <f t="shared" si="27"/>
        <v>0</v>
      </c>
      <c r="K264" s="5">
        <v>1.1499999999999999</v>
      </c>
      <c r="L264" s="5">
        <v>9490076.5036800001</v>
      </c>
      <c r="M264" s="5">
        <v>9.92</v>
      </c>
      <c r="N264" s="5">
        <v>5.54</v>
      </c>
      <c r="O264" s="5">
        <v>49.275999999999996</v>
      </c>
      <c r="P264" s="5">
        <v>6451587.0967999995</v>
      </c>
      <c r="Q264" s="5">
        <v>108810.10495999998</v>
      </c>
      <c r="R264" s="5">
        <v>60632.1368</v>
      </c>
      <c r="S264" s="5">
        <v>40.64</v>
      </c>
      <c r="T264" s="5">
        <f t="shared" si="28"/>
        <v>1</v>
      </c>
      <c r="U264" s="5">
        <f t="shared" si="29"/>
        <v>1</v>
      </c>
      <c r="V264" s="5">
        <f t="shared" si="30"/>
        <v>1</v>
      </c>
      <c r="W264" s="5">
        <v>77.724000000000004</v>
      </c>
      <c r="X264" s="5">
        <v>0.67400000000000004</v>
      </c>
    </row>
    <row r="265" spans="1:24" x14ac:dyDescent="0.25">
      <c r="A265" s="5" t="s">
        <v>589</v>
      </c>
      <c r="B265" s="5">
        <v>30.656177164000002</v>
      </c>
      <c r="C265" s="5">
        <v>3909.6695999999997</v>
      </c>
      <c r="D265" s="6">
        <v>152.39999999999998</v>
      </c>
      <c r="E265" s="6">
        <v>101.6</v>
      </c>
      <c r="F265" s="5">
        <v>7.9501999999999997</v>
      </c>
      <c r="G265" s="5">
        <f t="shared" si="25"/>
        <v>1</v>
      </c>
      <c r="H265" s="6" t="str">
        <f t="shared" si="26"/>
        <v>LLBB</v>
      </c>
      <c r="I265" s="5">
        <v>48.26</v>
      </c>
      <c r="J265" s="5">
        <f t="shared" si="27"/>
        <v>0</v>
      </c>
      <c r="K265" s="5">
        <v>1.1499999999999999</v>
      </c>
      <c r="L265" s="5">
        <v>9490076.5036800001</v>
      </c>
      <c r="M265" s="5">
        <v>9.92</v>
      </c>
      <c r="N265" s="5">
        <v>5.54</v>
      </c>
      <c r="O265" s="5">
        <v>49.275999999999996</v>
      </c>
      <c r="P265" s="5">
        <v>7617035.0884799995</v>
      </c>
      <c r="Q265" s="5">
        <v>127327.48727999999</v>
      </c>
      <c r="R265" s="5">
        <v>68497.927519999983</v>
      </c>
      <c r="S265" s="5">
        <v>44.195999999999998</v>
      </c>
      <c r="T265" s="5">
        <f t="shared" si="28"/>
        <v>1</v>
      </c>
      <c r="U265" s="5">
        <f t="shared" si="29"/>
        <v>1</v>
      </c>
      <c r="V265" s="5">
        <f t="shared" si="30"/>
        <v>1</v>
      </c>
      <c r="W265" s="5">
        <v>79.501999999999995</v>
      </c>
      <c r="X265" s="5">
        <v>0.68899999999999995</v>
      </c>
    </row>
    <row r="266" spans="1:24" x14ac:dyDescent="0.25">
      <c r="A266" s="5" t="s">
        <v>590</v>
      </c>
      <c r="B266" s="5">
        <v>45.537816564000003</v>
      </c>
      <c r="C266" s="5">
        <v>5806.44</v>
      </c>
      <c r="D266" s="6">
        <v>152.39999999999998</v>
      </c>
      <c r="E266" s="6">
        <v>88.899999999999991</v>
      </c>
      <c r="F266" s="5">
        <v>12.7</v>
      </c>
      <c r="G266" s="5">
        <f t="shared" si="25"/>
        <v>1</v>
      </c>
      <c r="H266" s="6" t="str">
        <f t="shared" si="26"/>
        <v>LLBB</v>
      </c>
      <c r="I266" s="5">
        <v>52.577999999999996</v>
      </c>
      <c r="J266" s="5">
        <f t="shared" si="27"/>
        <v>0</v>
      </c>
      <c r="K266" s="5">
        <v>1.5</v>
      </c>
      <c r="L266" s="5">
        <v>13818883.329919999</v>
      </c>
      <c r="M266" s="5">
        <v>15</v>
      </c>
      <c r="N266" s="5">
        <v>8.4600000000000009</v>
      </c>
      <c r="O266" s="5">
        <v>48.767999999999994</v>
      </c>
      <c r="P266" s="5">
        <v>6035355.6711999997</v>
      </c>
      <c r="Q266" s="5">
        <v>122247.49743999999</v>
      </c>
      <c r="R266" s="5">
        <v>67842.444959999993</v>
      </c>
      <c r="S266" s="5">
        <v>32.257999999999996</v>
      </c>
      <c r="T266" s="5">
        <f t="shared" si="28"/>
        <v>1</v>
      </c>
      <c r="U266" s="5">
        <f t="shared" si="29"/>
        <v>1</v>
      </c>
      <c r="V266" s="5">
        <f t="shared" si="30"/>
        <v>1</v>
      </c>
      <c r="W266" s="5">
        <v>74.675999999999988</v>
      </c>
      <c r="X266" s="5">
        <v>0.61499999999999999</v>
      </c>
    </row>
    <row r="267" spans="1:24" x14ac:dyDescent="0.25">
      <c r="A267" s="5" t="s">
        <v>591</v>
      </c>
      <c r="B267" s="5">
        <v>45.537816564000003</v>
      </c>
      <c r="C267" s="5">
        <v>5806.44</v>
      </c>
      <c r="D267" s="6">
        <v>152.39999999999998</v>
      </c>
      <c r="E267" s="6">
        <v>88.899999999999991</v>
      </c>
      <c r="F267" s="5">
        <v>12.7</v>
      </c>
      <c r="G267" s="5">
        <f t="shared" si="25"/>
        <v>1</v>
      </c>
      <c r="H267" s="6" t="str">
        <f t="shared" si="26"/>
        <v>LLBB</v>
      </c>
      <c r="I267" s="5">
        <v>52.577999999999996</v>
      </c>
      <c r="J267" s="5">
        <f t="shared" si="27"/>
        <v>0</v>
      </c>
      <c r="K267" s="5">
        <v>1.5</v>
      </c>
      <c r="L267" s="5">
        <v>13818883.329919999</v>
      </c>
      <c r="M267" s="5">
        <v>15</v>
      </c>
      <c r="N267" s="5">
        <v>8.4600000000000009</v>
      </c>
      <c r="O267" s="5">
        <v>48.767999999999994</v>
      </c>
      <c r="P267" s="5">
        <v>7325673.0905599995</v>
      </c>
      <c r="Q267" s="5">
        <v>149941.63559999998</v>
      </c>
      <c r="R267" s="5">
        <v>78166.295279999991</v>
      </c>
      <c r="S267" s="5">
        <v>35.559999999999995</v>
      </c>
      <c r="T267" s="5">
        <f t="shared" si="28"/>
        <v>1</v>
      </c>
      <c r="U267" s="5">
        <f t="shared" si="29"/>
        <v>1</v>
      </c>
      <c r="V267" s="5">
        <f t="shared" si="30"/>
        <v>1</v>
      </c>
      <c r="W267" s="5">
        <v>75.945999999999998</v>
      </c>
      <c r="X267" s="5">
        <v>0.63</v>
      </c>
    </row>
    <row r="268" spans="1:24" x14ac:dyDescent="0.25">
      <c r="A268" s="5" t="s">
        <v>592</v>
      </c>
      <c r="B268" s="5">
        <v>45.537816564000003</v>
      </c>
      <c r="C268" s="5">
        <v>5806.44</v>
      </c>
      <c r="D268" s="6">
        <v>152.39999999999998</v>
      </c>
      <c r="E268" s="6">
        <v>88.899999999999991</v>
      </c>
      <c r="F268" s="5">
        <v>12.7</v>
      </c>
      <c r="G268" s="5">
        <f t="shared" si="25"/>
        <v>1</v>
      </c>
      <c r="H268" s="6" t="str">
        <f t="shared" si="26"/>
        <v>LLBB</v>
      </c>
      <c r="I268" s="5">
        <v>52.577999999999996</v>
      </c>
      <c r="J268" s="5">
        <f t="shared" si="27"/>
        <v>0</v>
      </c>
      <c r="K268" s="5">
        <v>1.5</v>
      </c>
      <c r="L268" s="5">
        <v>13818883.329919999</v>
      </c>
      <c r="M268" s="5">
        <v>15</v>
      </c>
      <c r="N268" s="5">
        <v>8.4600000000000009</v>
      </c>
      <c r="O268" s="5">
        <v>48.767999999999994</v>
      </c>
      <c r="P268" s="5">
        <v>8865729.3652799986</v>
      </c>
      <c r="Q268" s="5">
        <v>176980.29120000001</v>
      </c>
      <c r="R268" s="5">
        <v>90128.851999999984</v>
      </c>
      <c r="S268" s="5">
        <v>39.116</v>
      </c>
      <c r="T268" s="5">
        <f t="shared" si="28"/>
        <v>1</v>
      </c>
      <c r="U268" s="5">
        <f t="shared" si="29"/>
        <v>1</v>
      </c>
      <c r="V268" s="5">
        <f t="shared" si="30"/>
        <v>1</v>
      </c>
      <c r="W268" s="5">
        <v>77.724000000000004</v>
      </c>
      <c r="X268" s="5">
        <v>0.64600000000000002</v>
      </c>
    </row>
    <row r="269" spans="1:24" x14ac:dyDescent="0.25">
      <c r="A269" s="5" t="s">
        <v>593</v>
      </c>
      <c r="B269" s="5">
        <v>34.823036195999997</v>
      </c>
      <c r="C269" s="5">
        <v>4438.7007999999996</v>
      </c>
      <c r="D269" s="6">
        <v>152.39999999999998</v>
      </c>
      <c r="E269" s="6">
        <v>88.899999999999991</v>
      </c>
      <c r="F269" s="5">
        <v>9.5249999999999986</v>
      </c>
      <c r="G269" s="5">
        <f t="shared" si="25"/>
        <v>1</v>
      </c>
      <c r="H269" s="6" t="str">
        <f t="shared" si="26"/>
        <v>LLBB</v>
      </c>
      <c r="I269" s="5">
        <v>51.308</v>
      </c>
      <c r="J269" s="5">
        <f t="shared" si="27"/>
        <v>0</v>
      </c>
      <c r="K269" s="5">
        <v>1.41</v>
      </c>
      <c r="L269" s="5">
        <v>10738770.780479999</v>
      </c>
      <c r="M269" s="5">
        <v>11.5</v>
      </c>
      <c r="N269" s="5">
        <v>6.46</v>
      </c>
      <c r="O269" s="5">
        <v>49.021999999999998</v>
      </c>
      <c r="P269" s="5">
        <v>4536922.5390399992</v>
      </c>
      <c r="Q269" s="5">
        <v>87998.533679999993</v>
      </c>
      <c r="R269" s="5">
        <v>50963.769039999992</v>
      </c>
      <c r="S269" s="5">
        <v>32.003999999999998</v>
      </c>
      <c r="T269" s="5">
        <f t="shared" si="28"/>
        <v>1</v>
      </c>
      <c r="U269" s="5">
        <f t="shared" si="29"/>
        <v>1</v>
      </c>
      <c r="V269" s="5">
        <f t="shared" si="30"/>
        <v>1</v>
      </c>
      <c r="W269" s="5">
        <v>74.930000000000007</v>
      </c>
      <c r="X269" s="5">
        <v>0.61299999999999999</v>
      </c>
    </row>
    <row r="270" spans="1:24" x14ac:dyDescent="0.25">
      <c r="A270" s="5" t="s">
        <v>594</v>
      </c>
      <c r="B270" s="5">
        <v>34.823036195999997</v>
      </c>
      <c r="C270" s="5">
        <v>4438.7007999999996</v>
      </c>
      <c r="D270" s="6">
        <v>152.39999999999998</v>
      </c>
      <c r="E270" s="6">
        <v>88.899999999999991</v>
      </c>
      <c r="F270" s="5">
        <v>9.5249999999999986</v>
      </c>
      <c r="G270" s="5">
        <f t="shared" si="25"/>
        <v>1</v>
      </c>
      <c r="H270" s="6" t="str">
        <f t="shared" si="26"/>
        <v>LLBB</v>
      </c>
      <c r="I270" s="5">
        <v>51.308</v>
      </c>
      <c r="J270" s="5">
        <f t="shared" si="27"/>
        <v>0</v>
      </c>
      <c r="K270" s="5">
        <v>1.41</v>
      </c>
      <c r="L270" s="5">
        <v>10738770.780479999</v>
      </c>
      <c r="M270" s="5">
        <v>11.5</v>
      </c>
      <c r="N270" s="5">
        <v>6.46</v>
      </c>
      <c r="O270" s="5">
        <v>49.021999999999998</v>
      </c>
      <c r="P270" s="5">
        <v>5452631.6753599998</v>
      </c>
      <c r="Q270" s="5">
        <v>109137.84624</v>
      </c>
      <c r="R270" s="5">
        <v>58174.077199999992</v>
      </c>
      <c r="S270" s="5">
        <v>35.051999999999992</v>
      </c>
      <c r="T270" s="5">
        <f t="shared" si="28"/>
        <v>1</v>
      </c>
      <c r="U270" s="5">
        <f t="shared" si="29"/>
        <v>1</v>
      </c>
      <c r="V270" s="5">
        <f t="shared" si="30"/>
        <v>1</v>
      </c>
      <c r="W270" s="5">
        <v>76.199999999999989</v>
      </c>
      <c r="X270" s="5">
        <v>0.627</v>
      </c>
    </row>
    <row r="271" spans="1:24" x14ac:dyDescent="0.25">
      <c r="A271" s="5" t="s">
        <v>595</v>
      </c>
      <c r="B271" s="5">
        <v>34.823036195999997</v>
      </c>
      <c r="C271" s="5">
        <v>4438.7007999999996</v>
      </c>
      <c r="D271" s="6">
        <v>152.39999999999998</v>
      </c>
      <c r="E271" s="6">
        <v>88.899999999999991</v>
      </c>
      <c r="F271" s="5">
        <v>9.5249999999999986</v>
      </c>
      <c r="G271" s="5">
        <f t="shared" si="25"/>
        <v>1</v>
      </c>
      <c r="H271" s="6" t="str">
        <f t="shared" si="26"/>
        <v>LLBB</v>
      </c>
      <c r="I271" s="5">
        <v>51.308</v>
      </c>
      <c r="J271" s="5">
        <f t="shared" si="27"/>
        <v>0</v>
      </c>
      <c r="K271" s="5">
        <v>1.41</v>
      </c>
      <c r="L271" s="5">
        <v>10738770.780479999</v>
      </c>
      <c r="M271" s="5">
        <v>11.5</v>
      </c>
      <c r="N271" s="5">
        <v>6.46</v>
      </c>
      <c r="O271" s="5">
        <v>49.021999999999998</v>
      </c>
      <c r="P271" s="5">
        <v>6618079.6670399997</v>
      </c>
      <c r="Q271" s="5">
        <v>130277.15879999999</v>
      </c>
      <c r="R271" s="5">
        <v>67186.962399999989</v>
      </c>
      <c r="S271" s="5">
        <v>38.607999999999997</v>
      </c>
      <c r="T271" s="5">
        <f t="shared" si="28"/>
        <v>1</v>
      </c>
      <c r="U271" s="5">
        <f t="shared" si="29"/>
        <v>1</v>
      </c>
      <c r="V271" s="5">
        <f t="shared" si="30"/>
        <v>1</v>
      </c>
      <c r="W271" s="5">
        <v>77.977999999999994</v>
      </c>
      <c r="X271" s="5">
        <v>0.64200000000000002</v>
      </c>
    </row>
    <row r="272" spans="1:24" x14ac:dyDescent="0.25">
      <c r="A272" s="5" t="s">
        <v>596</v>
      </c>
      <c r="B272" s="5">
        <v>29.168013224000003</v>
      </c>
      <c r="C272" s="5">
        <v>3729.0248000000001</v>
      </c>
      <c r="D272" s="6">
        <v>152.39999999999998</v>
      </c>
      <c r="E272" s="6">
        <v>88.899999999999991</v>
      </c>
      <c r="F272" s="5">
        <v>7.9501999999999997</v>
      </c>
      <c r="G272" s="5">
        <f t="shared" si="25"/>
        <v>1</v>
      </c>
      <c r="H272" s="6" t="str">
        <f t="shared" si="26"/>
        <v>LLBB</v>
      </c>
      <c r="I272" s="5">
        <v>50.8</v>
      </c>
      <c r="J272" s="5">
        <f t="shared" si="27"/>
        <v>0</v>
      </c>
      <c r="K272" s="5">
        <v>1.38</v>
      </c>
      <c r="L272" s="5">
        <v>9073845.0780799985</v>
      </c>
      <c r="M272" s="5">
        <v>9.68</v>
      </c>
      <c r="N272" s="5">
        <v>5.44</v>
      </c>
      <c r="O272" s="5">
        <v>49.275999999999996</v>
      </c>
      <c r="P272" s="5">
        <v>3758569.7731679995</v>
      </c>
      <c r="Q272" s="5">
        <v>71611.469679999995</v>
      </c>
      <c r="R272" s="5">
        <v>42278.625119999997</v>
      </c>
      <c r="S272" s="5">
        <v>31.75</v>
      </c>
      <c r="T272" s="5">
        <f t="shared" si="28"/>
        <v>1</v>
      </c>
      <c r="U272" s="5">
        <f t="shared" si="29"/>
        <v>1</v>
      </c>
      <c r="V272" s="5">
        <f t="shared" si="30"/>
        <v>1</v>
      </c>
      <c r="W272" s="5">
        <v>74.930000000000007</v>
      </c>
      <c r="X272" s="5">
        <v>0.61199999999999999</v>
      </c>
    </row>
    <row r="273" spans="1:24" x14ac:dyDescent="0.25">
      <c r="A273" s="5" t="s">
        <v>597</v>
      </c>
      <c r="B273" s="5">
        <v>29.168013224000003</v>
      </c>
      <c r="C273" s="5">
        <v>3729.0248000000001</v>
      </c>
      <c r="D273" s="6">
        <v>152.39999999999998</v>
      </c>
      <c r="E273" s="6">
        <v>88.899999999999991</v>
      </c>
      <c r="F273" s="5">
        <v>7.9501999999999997</v>
      </c>
      <c r="G273" s="5">
        <f t="shared" si="25"/>
        <v>1</v>
      </c>
      <c r="H273" s="6" t="str">
        <f t="shared" si="26"/>
        <v>LLBB</v>
      </c>
      <c r="I273" s="5">
        <v>50.8</v>
      </c>
      <c r="J273" s="5">
        <f t="shared" si="27"/>
        <v>0</v>
      </c>
      <c r="K273" s="5">
        <v>1.38</v>
      </c>
      <c r="L273" s="5">
        <v>9073845.0780799985</v>
      </c>
      <c r="M273" s="5">
        <v>9.68</v>
      </c>
      <c r="N273" s="5">
        <v>5.44</v>
      </c>
      <c r="O273" s="5">
        <v>49.275999999999996</v>
      </c>
      <c r="P273" s="5">
        <v>4495299.3964799996</v>
      </c>
      <c r="Q273" s="5">
        <v>89309.498800000001</v>
      </c>
      <c r="R273" s="5">
        <v>48014.097519999996</v>
      </c>
      <c r="S273" s="5">
        <v>34.798000000000002</v>
      </c>
      <c r="T273" s="5">
        <f t="shared" si="28"/>
        <v>1</v>
      </c>
      <c r="U273" s="5">
        <f t="shared" si="29"/>
        <v>1</v>
      </c>
      <c r="V273" s="5">
        <f t="shared" si="30"/>
        <v>1</v>
      </c>
      <c r="W273" s="5">
        <v>76.199999999999989</v>
      </c>
      <c r="X273" s="5">
        <v>0.625</v>
      </c>
    </row>
    <row r="274" spans="1:24" x14ac:dyDescent="0.25">
      <c r="A274" s="5" t="s">
        <v>598</v>
      </c>
      <c r="B274" s="5">
        <v>29.168013224000003</v>
      </c>
      <c r="C274" s="5">
        <v>3729.0248000000001</v>
      </c>
      <c r="D274" s="6">
        <v>152.39999999999998</v>
      </c>
      <c r="E274" s="6">
        <v>88.899999999999991</v>
      </c>
      <c r="F274" s="5">
        <v>7.9501999999999997</v>
      </c>
      <c r="G274" s="5">
        <f t="shared" si="25"/>
        <v>1</v>
      </c>
      <c r="H274" s="6" t="str">
        <f t="shared" si="26"/>
        <v>LLBB</v>
      </c>
      <c r="I274" s="5">
        <v>50.8</v>
      </c>
      <c r="J274" s="5">
        <f t="shared" si="27"/>
        <v>0</v>
      </c>
      <c r="K274" s="5">
        <v>1.38</v>
      </c>
      <c r="L274" s="5">
        <v>9073845.0780799985</v>
      </c>
      <c r="M274" s="5">
        <v>9.68</v>
      </c>
      <c r="N274" s="5">
        <v>5.44</v>
      </c>
      <c r="O274" s="5">
        <v>49.275999999999996</v>
      </c>
      <c r="P274" s="5">
        <v>5411008.5327999992</v>
      </c>
      <c r="Q274" s="5">
        <v>107171.39855999999</v>
      </c>
      <c r="R274" s="5">
        <v>54896.664399999994</v>
      </c>
      <c r="S274" s="5">
        <v>38.099999999999994</v>
      </c>
      <c r="T274" s="5">
        <f t="shared" si="28"/>
        <v>1</v>
      </c>
      <c r="U274" s="5">
        <f t="shared" si="29"/>
        <v>1</v>
      </c>
      <c r="V274" s="5">
        <f t="shared" si="30"/>
        <v>1</v>
      </c>
      <c r="W274" s="5">
        <v>77.977999999999994</v>
      </c>
      <c r="X274" s="5">
        <v>0.64100000000000001</v>
      </c>
    </row>
    <row r="275" spans="1:24" x14ac:dyDescent="0.25">
      <c r="A275" s="5" t="s">
        <v>599</v>
      </c>
      <c r="B275" s="5">
        <v>58.931292024000001</v>
      </c>
      <c r="C275" s="5">
        <v>7548.3719999999994</v>
      </c>
      <c r="D275" s="6">
        <v>127</v>
      </c>
      <c r="E275" s="6">
        <v>88.899999999999991</v>
      </c>
      <c r="F275" s="5">
        <v>19.049999999999997</v>
      </c>
      <c r="G275" s="5">
        <f t="shared" si="25"/>
        <v>1</v>
      </c>
      <c r="H275" s="6" t="str">
        <f t="shared" si="26"/>
        <v>LLBB</v>
      </c>
      <c r="I275" s="5">
        <v>44.195999999999998</v>
      </c>
      <c r="J275" s="5">
        <f t="shared" si="27"/>
        <v>0</v>
      </c>
      <c r="K275" s="5">
        <v>1.1000000000000001</v>
      </c>
      <c r="L275" s="5">
        <v>11571233.631679999</v>
      </c>
      <c r="M275" s="5">
        <v>15.2</v>
      </c>
      <c r="N275" s="5">
        <v>8.52</v>
      </c>
      <c r="O275" s="5">
        <v>39.369999999999997</v>
      </c>
      <c r="P275" s="5">
        <v>9406830.218559999</v>
      </c>
      <c r="Q275" s="5">
        <v>190089.94239999997</v>
      </c>
      <c r="R275" s="5">
        <v>105860.43343999999</v>
      </c>
      <c r="S275" s="5">
        <v>35.305999999999997</v>
      </c>
      <c r="T275" s="5">
        <f t="shared" si="28"/>
        <v>1</v>
      </c>
      <c r="U275" s="5">
        <f t="shared" si="29"/>
        <v>1</v>
      </c>
      <c r="V275" s="5">
        <f t="shared" si="30"/>
        <v>1</v>
      </c>
      <c r="W275" s="5">
        <v>63.246000000000002</v>
      </c>
      <c r="X275" s="5">
        <v>0.69899999999999995</v>
      </c>
    </row>
    <row r="276" spans="1:24" x14ac:dyDescent="0.25">
      <c r="A276" s="5" t="s">
        <v>600</v>
      </c>
      <c r="B276" s="5">
        <v>58.931292024000001</v>
      </c>
      <c r="C276" s="5">
        <v>7548.3719999999994</v>
      </c>
      <c r="D276" s="6">
        <v>127</v>
      </c>
      <c r="E276" s="6">
        <v>88.899999999999991</v>
      </c>
      <c r="F276" s="5">
        <v>19.049999999999997</v>
      </c>
      <c r="G276" s="5">
        <f t="shared" si="25"/>
        <v>1</v>
      </c>
      <c r="H276" s="6" t="str">
        <f t="shared" si="26"/>
        <v>LLBB</v>
      </c>
      <c r="I276" s="5">
        <v>44.195999999999998</v>
      </c>
      <c r="J276" s="5">
        <f t="shared" si="27"/>
        <v>0</v>
      </c>
      <c r="K276" s="5">
        <v>1.1000000000000001</v>
      </c>
      <c r="L276" s="5">
        <v>11571233.631679999</v>
      </c>
      <c r="M276" s="5">
        <v>15.2</v>
      </c>
      <c r="N276" s="5">
        <v>8.52</v>
      </c>
      <c r="O276" s="5">
        <v>39.369999999999997</v>
      </c>
      <c r="P276" s="5">
        <v>11404741.061439998</v>
      </c>
      <c r="Q276" s="5">
        <v>226141.48319999999</v>
      </c>
      <c r="R276" s="5">
        <v>121755.88551999998</v>
      </c>
      <c r="S276" s="5">
        <v>38.862000000000002</v>
      </c>
      <c r="T276" s="5">
        <f t="shared" si="28"/>
        <v>1</v>
      </c>
      <c r="U276" s="5">
        <f t="shared" si="29"/>
        <v>1</v>
      </c>
      <c r="V276" s="5">
        <f t="shared" si="30"/>
        <v>1</v>
      </c>
      <c r="W276" s="5">
        <v>65.277999999999992</v>
      </c>
      <c r="X276" s="5">
        <v>0.71699999999999997</v>
      </c>
    </row>
    <row r="277" spans="1:24" x14ac:dyDescent="0.25">
      <c r="A277" s="5" t="s">
        <v>601</v>
      </c>
      <c r="B277" s="5">
        <v>58.931292024000001</v>
      </c>
      <c r="C277" s="5">
        <v>7548.3719999999994</v>
      </c>
      <c r="D277" s="6">
        <v>127</v>
      </c>
      <c r="E277" s="6">
        <v>88.899999999999991</v>
      </c>
      <c r="F277" s="5">
        <v>19.049999999999997</v>
      </c>
      <c r="G277" s="5">
        <f t="shared" si="25"/>
        <v>1</v>
      </c>
      <c r="H277" s="6" t="str">
        <f t="shared" si="26"/>
        <v>LLBB</v>
      </c>
      <c r="I277" s="5">
        <v>44.195999999999998</v>
      </c>
      <c r="J277" s="5">
        <f t="shared" si="27"/>
        <v>0</v>
      </c>
      <c r="K277" s="5">
        <v>1.1000000000000001</v>
      </c>
      <c r="L277" s="5">
        <v>11571233.631679999</v>
      </c>
      <c r="M277" s="5">
        <v>15.2</v>
      </c>
      <c r="N277" s="5">
        <v>8.52</v>
      </c>
      <c r="O277" s="5">
        <v>39.369999999999997</v>
      </c>
      <c r="P277" s="5">
        <v>13735637.044799998</v>
      </c>
      <c r="Q277" s="5">
        <v>262193.02399999998</v>
      </c>
      <c r="R277" s="5">
        <v>139617.78527999998</v>
      </c>
      <c r="S277" s="5">
        <v>42.671999999999997</v>
      </c>
      <c r="T277" s="5">
        <f t="shared" si="28"/>
        <v>1</v>
      </c>
      <c r="U277" s="5">
        <f t="shared" si="29"/>
        <v>1</v>
      </c>
      <c r="V277" s="5">
        <f t="shared" si="30"/>
        <v>1</v>
      </c>
      <c r="W277" s="5">
        <v>67.563999999999993</v>
      </c>
      <c r="X277" s="5">
        <v>0.73599999999999999</v>
      </c>
    </row>
    <row r="278" spans="1:24" x14ac:dyDescent="0.25">
      <c r="A278" s="5" t="s">
        <v>602</v>
      </c>
      <c r="B278" s="5">
        <v>50.002308384000003</v>
      </c>
      <c r="C278" s="5">
        <v>6361.2775999999994</v>
      </c>
      <c r="D278" s="6">
        <v>127</v>
      </c>
      <c r="E278" s="6">
        <v>88.899999999999991</v>
      </c>
      <c r="F278" s="5">
        <v>15.875</v>
      </c>
      <c r="G278" s="5">
        <f t="shared" si="25"/>
        <v>1</v>
      </c>
      <c r="H278" s="6" t="str">
        <f t="shared" si="26"/>
        <v>LLBB</v>
      </c>
      <c r="I278" s="5">
        <v>42.925999999999995</v>
      </c>
      <c r="J278" s="5">
        <f t="shared" si="27"/>
        <v>0</v>
      </c>
      <c r="K278" s="5">
        <v>1.06</v>
      </c>
      <c r="L278" s="5">
        <v>9989554.214399999</v>
      </c>
      <c r="M278" s="5">
        <v>13</v>
      </c>
      <c r="N278" s="5">
        <v>7.26</v>
      </c>
      <c r="O278" s="5">
        <v>39.624000000000002</v>
      </c>
      <c r="P278" s="5">
        <v>7700281.3735999996</v>
      </c>
      <c r="Q278" s="5">
        <v>153055.17775999999</v>
      </c>
      <c r="R278" s="5">
        <v>86687.56856</v>
      </c>
      <c r="S278" s="5">
        <v>34.798000000000002</v>
      </c>
      <c r="T278" s="5">
        <f t="shared" si="28"/>
        <v>1</v>
      </c>
      <c r="U278" s="5">
        <f t="shared" si="29"/>
        <v>1</v>
      </c>
      <c r="V278" s="5">
        <f t="shared" si="30"/>
        <v>1</v>
      </c>
      <c r="W278" s="5">
        <v>63.246000000000002</v>
      </c>
      <c r="X278" s="5">
        <v>0.69299999999999995</v>
      </c>
    </row>
    <row r="279" spans="1:24" x14ac:dyDescent="0.25">
      <c r="A279" s="5" t="s">
        <v>603</v>
      </c>
      <c r="B279" s="5">
        <v>50.002308384000003</v>
      </c>
      <c r="C279" s="5">
        <v>6361.2775999999994</v>
      </c>
      <c r="D279" s="6">
        <v>127</v>
      </c>
      <c r="E279" s="6">
        <v>88.899999999999991</v>
      </c>
      <c r="F279" s="5">
        <v>15.875</v>
      </c>
      <c r="G279" s="5">
        <f t="shared" si="25"/>
        <v>1</v>
      </c>
      <c r="H279" s="6" t="str">
        <f t="shared" si="26"/>
        <v>LLBB</v>
      </c>
      <c r="I279" s="5">
        <v>42.925999999999995</v>
      </c>
      <c r="J279" s="5">
        <f t="shared" si="27"/>
        <v>0</v>
      </c>
      <c r="K279" s="5">
        <v>1.06</v>
      </c>
      <c r="L279" s="5">
        <v>9989554.214399999</v>
      </c>
      <c r="M279" s="5">
        <v>13</v>
      </c>
      <c r="N279" s="5">
        <v>7.26</v>
      </c>
      <c r="O279" s="5">
        <v>39.624000000000002</v>
      </c>
      <c r="P279" s="5">
        <v>9240337.6483199988</v>
      </c>
      <c r="Q279" s="5">
        <v>183535.11679999996</v>
      </c>
      <c r="R279" s="5">
        <v>98650.125279999978</v>
      </c>
      <c r="S279" s="5">
        <v>38.099999999999994</v>
      </c>
      <c r="T279" s="5">
        <f t="shared" si="28"/>
        <v>1</v>
      </c>
      <c r="U279" s="5">
        <f t="shared" si="29"/>
        <v>1</v>
      </c>
      <c r="V279" s="5">
        <f t="shared" si="30"/>
        <v>1</v>
      </c>
      <c r="W279" s="5">
        <v>65.277999999999992</v>
      </c>
      <c r="X279" s="5">
        <v>0.71099999999999997</v>
      </c>
    </row>
    <row r="280" spans="1:24" x14ac:dyDescent="0.25">
      <c r="A280" s="5" t="s">
        <v>604</v>
      </c>
      <c r="B280" s="5">
        <v>50.002308384000003</v>
      </c>
      <c r="C280" s="5">
        <v>6361.2775999999994</v>
      </c>
      <c r="D280" s="6">
        <v>127</v>
      </c>
      <c r="E280" s="6">
        <v>88.899999999999991</v>
      </c>
      <c r="F280" s="5">
        <v>15.875</v>
      </c>
      <c r="G280" s="5">
        <f t="shared" si="25"/>
        <v>1</v>
      </c>
      <c r="H280" s="6" t="str">
        <f t="shared" si="26"/>
        <v>LLBB</v>
      </c>
      <c r="I280" s="5">
        <v>42.925999999999995</v>
      </c>
      <c r="J280" s="5">
        <f t="shared" si="27"/>
        <v>0</v>
      </c>
      <c r="K280" s="5">
        <v>1.06</v>
      </c>
      <c r="L280" s="5">
        <v>9989554.214399999</v>
      </c>
      <c r="M280" s="5">
        <v>13</v>
      </c>
      <c r="N280" s="5">
        <v>7.26</v>
      </c>
      <c r="O280" s="5">
        <v>39.624000000000002</v>
      </c>
      <c r="P280" s="5">
        <v>11155002.206079999</v>
      </c>
      <c r="Q280" s="5">
        <v>213031.83199999999</v>
      </c>
      <c r="R280" s="5">
        <v>113398.48287999998</v>
      </c>
      <c r="S280" s="5">
        <v>41.91</v>
      </c>
      <c r="T280" s="5">
        <f t="shared" si="28"/>
        <v>1</v>
      </c>
      <c r="U280" s="5">
        <f t="shared" si="29"/>
        <v>1</v>
      </c>
      <c r="V280" s="5">
        <f t="shared" si="30"/>
        <v>1</v>
      </c>
      <c r="W280" s="5">
        <v>67.563999999999993</v>
      </c>
      <c r="X280" s="5">
        <v>0.73</v>
      </c>
    </row>
    <row r="281" spans="1:24" x14ac:dyDescent="0.25">
      <c r="A281" s="5" t="s">
        <v>605</v>
      </c>
      <c r="B281" s="5">
        <v>40.478059168000001</v>
      </c>
      <c r="C281" s="5">
        <v>5161.28</v>
      </c>
      <c r="D281" s="6">
        <v>127</v>
      </c>
      <c r="E281" s="6">
        <v>88.899999999999991</v>
      </c>
      <c r="F281" s="5">
        <v>12.7</v>
      </c>
      <c r="G281" s="5">
        <f t="shared" si="25"/>
        <v>1</v>
      </c>
      <c r="H281" s="6" t="str">
        <f t="shared" si="26"/>
        <v>LLBB</v>
      </c>
      <c r="I281" s="5">
        <v>41.91</v>
      </c>
      <c r="J281" s="5">
        <f t="shared" si="27"/>
        <v>0</v>
      </c>
      <c r="K281" s="5">
        <v>1</v>
      </c>
      <c r="L281" s="5">
        <v>8324628.5119999992</v>
      </c>
      <c r="M281" s="5">
        <v>10.7</v>
      </c>
      <c r="N281" s="5">
        <v>5.94</v>
      </c>
      <c r="O281" s="5">
        <v>40.131999999999998</v>
      </c>
      <c r="P281" s="5">
        <v>6076978.8137599993</v>
      </c>
      <c r="Q281" s="5">
        <v>118150.73143999999</v>
      </c>
      <c r="R281" s="5">
        <v>68334.056879999989</v>
      </c>
      <c r="S281" s="5">
        <v>34.29</v>
      </c>
      <c r="T281" s="5">
        <f t="shared" si="28"/>
        <v>1</v>
      </c>
      <c r="U281" s="5">
        <f t="shared" si="29"/>
        <v>1</v>
      </c>
      <c r="V281" s="5">
        <f t="shared" si="30"/>
        <v>1</v>
      </c>
      <c r="W281" s="5">
        <v>63.5</v>
      </c>
      <c r="X281" s="5">
        <v>0.68799999999999994</v>
      </c>
    </row>
    <row r="282" spans="1:24" x14ac:dyDescent="0.25">
      <c r="A282" s="5" t="s">
        <v>606</v>
      </c>
      <c r="B282" s="5">
        <v>40.478059168000001</v>
      </c>
      <c r="C282" s="5">
        <v>5161.28</v>
      </c>
      <c r="D282" s="6">
        <v>127</v>
      </c>
      <c r="E282" s="6">
        <v>88.899999999999991</v>
      </c>
      <c r="F282" s="5">
        <v>12.7</v>
      </c>
      <c r="G282" s="5">
        <f t="shared" si="25"/>
        <v>1</v>
      </c>
      <c r="H282" s="6" t="str">
        <f t="shared" si="26"/>
        <v>LLBB</v>
      </c>
      <c r="I282" s="5">
        <v>41.91</v>
      </c>
      <c r="J282" s="5">
        <f t="shared" si="27"/>
        <v>0</v>
      </c>
      <c r="K282" s="5">
        <v>1</v>
      </c>
      <c r="L282" s="5">
        <v>8324628.5119999992</v>
      </c>
      <c r="M282" s="5">
        <v>10.7</v>
      </c>
      <c r="N282" s="5">
        <v>5.94</v>
      </c>
      <c r="O282" s="5">
        <v>40.131999999999998</v>
      </c>
      <c r="P282" s="5">
        <v>7284049.9479999989</v>
      </c>
      <c r="Q282" s="5">
        <v>142731.32743999999</v>
      </c>
      <c r="R282" s="5">
        <v>77838.553999999989</v>
      </c>
      <c r="S282" s="5">
        <v>37.591999999999999</v>
      </c>
      <c r="T282" s="5">
        <f t="shared" si="28"/>
        <v>1</v>
      </c>
      <c r="U282" s="5">
        <f t="shared" si="29"/>
        <v>1</v>
      </c>
      <c r="V282" s="5">
        <f t="shared" si="30"/>
        <v>1</v>
      </c>
      <c r="W282" s="5">
        <v>65.531999999999996</v>
      </c>
      <c r="X282" s="5">
        <v>0.70499999999999996</v>
      </c>
    </row>
    <row r="283" spans="1:24" x14ac:dyDescent="0.25">
      <c r="A283" s="5" t="s">
        <v>607</v>
      </c>
      <c r="B283" s="5">
        <v>40.478059168000001</v>
      </c>
      <c r="C283" s="5">
        <v>5161.28</v>
      </c>
      <c r="D283" s="6">
        <v>127</v>
      </c>
      <c r="E283" s="6">
        <v>88.899999999999991</v>
      </c>
      <c r="F283" s="5">
        <v>12.7</v>
      </c>
      <c r="G283" s="5">
        <f t="shared" si="25"/>
        <v>1</v>
      </c>
      <c r="H283" s="6" t="str">
        <f t="shared" si="26"/>
        <v>LLBB</v>
      </c>
      <c r="I283" s="5">
        <v>41.91</v>
      </c>
      <c r="J283" s="5">
        <f t="shared" si="27"/>
        <v>0</v>
      </c>
      <c r="K283" s="5">
        <v>1</v>
      </c>
      <c r="L283" s="5">
        <v>8324628.5119999992</v>
      </c>
      <c r="M283" s="5">
        <v>10.7</v>
      </c>
      <c r="N283" s="5">
        <v>5.94</v>
      </c>
      <c r="O283" s="5">
        <v>40.131999999999998</v>
      </c>
      <c r="P283" s="5">
        <v>8740859.9375999998</v>
      </c>
      <c r="Q283" s="5">
        <v>167148.05279999998</v>
      </c>
      <c r="R283" s="5">
        <v>88817.886879999991</v>
      </c>
      <c r="S283" s="5">
        <v>41.148000000000003</v>
      </c>
      <c r="T283" s="5">
        <f t="shared" si="28"/>
        <v>1</v>
      </c>
      <c r="U283" s="5">
        <f t="shared" si="29"/>
        <v>1</v>
      </c>
      <c r="V283" s="5">
        <f t="shared" si="30"/>
        <v>1</v>
      </c>
      <c r="W283" s="5">
        <v>67.563999999999993</v>
      </c>
      <c r="X283" s="5">
        <v>0.72399999999999998</v>
      </c>
    </row>
    <row r="284" spans="1:24" x14ac:dyDescent="0.25">
      <c r="A284" s="5" t="s">
        <v>608</v>
      </c>
      <c r="B284" s="5">
        <v>30.953809952</v>
      </c>
      <c r="C284" s="5">
        <v>3935.4759999999997</v>
      </c>
      <c r="D284" s="6">
        <v>127</v>
      </c>
      <c r="E284" s="6">
        <v>88.899999999999991</v>
      </c>
      <c r="F284" s="5">
        <v>9.5249999999999986</v>
      </c>
      <c r="G284" s="5">
        <f t="shared" si="25"/>
        <v>1</v>
      </c>
      <c r="H284" s="6" t="str">
        <f t="shared" si="26"/>
        <v>LLBB</v>
      </c>
      <c r="I284" s="5">
        <v>40.64</v>
      </c>
      <c r="J284" s="5">
        <f t="shared" si="27"/>
        <v>0</v>
      </c>
      <c r="K284" s="5">
        <v>0.93300000000000005</v>
      </c>
      <c r="L284" s="5">
        <v>6451587.0967999995</v>
      </c>
      <c r="M284" s="5">
        <v>8.18</v>
      </c>
      <c r="N284" s="5">
        <v>4.5599999999999996</v>
      </c>
      <c r="O284" s="5">
        <v>40.386000000000003</v>
      </c>
      <c r="P284" s="5">
        <v>4495299.3964799996</v>
      </c>
      <c r="Q284" s="5">
        <v>85376.603439999992</v>
      </c>
      <c r="R284" s="5">
        <v>50636.02775999999</v>
      </c>
      <c r="S284" s="5">
        <v>33.781999999999996</v>
      </c>
      <c r="T284" s="5">
        <f t="shared" si="28"/>
        <v>1</v>
      </c>
      <c r="U284" s="5">
        <f t="shared" si="29"/>
        <v>1</v>
      </c>
      <c r="V284" s="5">
        <f t="shared" si="30"/>
        <v>1</v>
      </c>
      <c r="W284" s="5">
        <v>63.753999999999991</v>
      </c>
      <c r="X284" s="5">
        <v>0.68300000000000005</v>
      </c>
    </row>
    <row r="285" spans="1:24" x14ac:dyDescent="0.25">
      <c r="A285" s="5" t="s">
        <v>609</v>
      </c>
      <c r="B285" s="5">
        <v>30.953809952</v>
      </c>
      <c r="C285" s="5">
        <v>3935.4759999999997</v>
      </c>
      <c r="D285" s="6">
        <v>127</v>
      </c>
      <c r="E285" s="6">
        <v>88.899999999999991</v>
      </c>
      <c r="F285" s="5">
        <v>9.5249999999999986</v>
      </c>
      <c r="G285" s="5">
        <f t="shared" si="25"/>
        <v>1</v>
      </c>
      <c r="H285" s="6" t="str">
        <f t="shared" si="26"/>
        <v>LLBB</v>
      </c>
      <c r="I285" s="5">
        <v>40.64</v>
      </c>
      <c r="J285" s="5">
        <f t="shared" si="27"/>
        <v>0</v>
      </c>
      <c r="K285" s="5">
        <v>0.93300000000000005</v>
      </c>
      <c r="L285" s="5">
        <v>6451587.0967999995</v>
      </c>
      <c r="M285" s="5">
        <v>8.18</v>
      </c>
      <c r="N285" s="5">
        <v>4.5599999999999996</v>
      </c>
      <c r="O285" s="5">
        <v>40.386000000000003</v>
      </c>
      <c r="P285" s="5">
        <v>5411008.5327999992</v>
      </c>
      <c r="Q285" s="5">
        <v>104057.85639999999</v>
      </c>
      <c r="R285" s="5">
        <v>57846.33591999999</v>
      </c>
      <c r="S285" s="5">
        <v>37.083999999999996</v>
      </c>
      <c r="T285" s="5">
        <f t="shared" si="28"/>
        <v>1</v>
      </c>
      <c r="U285" s="5">
        <f t="shared" si="29"/>
        <v>1</v>
      </c>
      <c r="V285" s="5">
        <f t="shared" si="30"/>
        <v>1</v>
      </c>
      <c r="W285" s="5">
        <v>65.531999999999996</v>
      </c>
      <c r="X285" s="5">
        <v>0.7</v>
      </c>
    </row>
    <row r="286" spans="1:24" x14ac:dyDescent="0.25">
      <c r="A286" s="5" t="s">
        <v>610</v>
      </c>
      <c r="B286" s="5">
        <v>30.953809952</v>
      </c>
      <c r="C286" s="5">
        <v>3935.4759999999997</v>
      </c>
      <c r="D286" s="6">
        <v>127</v>
      </c>
      <c r="E286" s="6">
        <v>88.899999999999991</v>
      </c>
      <c r="F286" s="5">
        <v>9.5249999999999986</v>
      </c>
      <c r="G286" s="5">
        <f t="shared" si="25"/>
        <v>1</v>
      </c>
      <c r="H286" s="6" t="str">
        <f t="shared" si="26"/>
        <v>LLBB</v>
      </c>
      <c r="I286" s="5">
        <v>40.64</v>
      </c>
      <c r="J286" s="5">
        <f t="shared" si="27"/>
        <v>0</v>
      </c>
      <c r="K286" s="5">
        <v>0.93300000000000005</v>
      </c>
      <c r="L286" s="5">
        <v>6451587.0967999995</v>
      </c>
      <c r="M286" s="5">
        <v>8.18</v>
      </c>
      <c r="N286" s="5">
        <v>4.5599999999999996</v>
      </c>
      <c r="O286" s="5">
        <v>40.386000000000003</v>
      </c>
      <c r="P286" s="5">
        <v>6409963.9542399999</v>
      </c>
      <c r="Q286" s="5">
        <v>122902.97999999998</v>
      </c>
      <c r="R286" s="5">
        <v>65056.644079999998</v>
      </c>
      <c r="S286" s="5">
        <v>40.386000000000003</v>
      </c>
      <c r="T286" s="5">
        <f t="shared" si="28"/>
        <v>1</v>
      </c>
      <c r="U286" s="5">
        <f t="shared" si="29"/>
        <v>1</v>
      </c>
      <c r="V286" s="5">
        <f t="shared" si="30"/>
        <v>1</v>
      </c>
      <c r="W286" s="5">
        <v>67.563999999999993</v>
      </c>
      <c r="X286" s="5">
        <v>0.71799999999999997</v>
      </c>
    </row>
    <row r="287" spans="1:24" x14ac:dyDescent="0.25">
      <c r="A287" s="5" t="s">
        <v>611</v>
      </c>
      <c r="B287" s="5">
        <v>25.894052555999998</v>
      </c>
      <c r="C287" s="5">
        <v>3303.2192</v>
      </c>
      <c r="D287" s="6">
        <v>127</v>
      </c>
      <c r="E287" s="6">
        <v>88.899999999999991</v>
      </c>
      <c r="F287" s="5">
        <v>7.9501999999999997</v>
      </c>
      <c r="G287" s="5">
        <f t="shared" si="25"/>
        <v>1</v>
      </c>
      <c r="H287" s="6" t="str">
        <f t="shared" si="26"/>
        <v>LLBB</v>
      </c>
      <c r="I287" s="5">
        <v>39.878</v>
      </c>
      <c r="J287" s="5">
        <f t="shared" si="27"/>
        <v>0</v>
      </c>
      <c r="K287" s="5">
        <v>0.90400000000000003</v>
      </c>
      <c r="L287" s="5">
        <v>5494254.8179199994</v>
      </c>
      <c r="M287" s="5">
        <v>6.9</v>
      </c>
      <c r="N287" s="5">
        <v>3.84</v>
      </c>
      <c r="O287" s="5">
        <v>40.64</v>
      </c>
      <c r="P287" s="5">
        <v>3712784.3163519995</v>
      </c>
      <c r="Q287" s="5">
        <v>69481.151360000003</v>
      </c>
      <c r="R287" s="5">
        <v>41787.013199999994</v>
      </c>
      <c r="S287" s="5">
        <v>33.527999999999999</v>
      </c>
      <c r="T287" s="5">
        <f t="shared" si="28"/>
        <v>1</v>
      </c>
      <c r="U287" s="5">
        <f t="shared" si="29"/>
        <v>1</v>
      </c>
      <c r="V287" s="5">
        <f t="shared" si="30"/>
        <v>1</v>
      </c>
      <c r="W287" s="5">
        <v>63.753999999999991</v>
      </c>
      <c r="X287" s="5">
        <v>0.68200000000000005</v>
      </c>
    </row>
    <row r="288" spans="1:24" x14ac:dyDescent="0.25">
      <c r="A288" s="5" t="s">
        <v>612</v>
      </c>
      <c r="B288" s="5">
        <v>25.894052555999998</v>
      </c>
      <c r="C288" s="5">
        <v>3303.2192</v>
      </c>
      <c r="D288" s="6">
        <v>127</v>
      </c>
      <c r="E288" s="6">
        <v>88.899999999999991</v>
      </c>
      <c r="F288" s="5">
        <v>7.9501999999999997</v>
      </c>
      <c r="G288" s="5">
        <f t="shared" si="25"/>
        <v>1</v>
      </c>
      <c r="H288" s="6" t="str">
        <f t="shared" si="26"/>
        <v>LLBB</v>
      </c>
      <c r="I288" s="5">
        <v>39.878</v>
      </c>
      <c r="J288" s="5">
        <f t="shared" si="27"/>
        <v>0</v>
      </c>
      <c r="K288" s="5">
        <v>0.90400000000000003</v>
      </c>
      <c r="L288" s="5">
        <v>5494254.8179199994</v>
      </c>
      <c r="M288" s="5">
        <v>6.9</v>
      </c>
      <c r="N288" s="5">
        <v>3.84</v>
      </c>
      <c r="O288" s="5">
        <v>40.64</v>
      </c>
      <c r="P288" s="5">
        <v>4412053.1113599995</v>
      </c>
      <c r="Q288" s="5">
        <v>85212.732799999998</v>
      </c>
      <c r="R288" s="5">
        <v>47030.873679999997</v>
      </c>
      <c r="S288" s="5">
        <v>36.575999999999993</v>
      </c>
      <c r="T288" s="5">
        <f t="shared" si="28"/>
        <v>1</v>
      </c>
      <c r="U288" s="5">
        <f t="shared" si="29"/>
        <v>1</v>
      </c>
      <c r="V288" s="5">
        <f t="shared" si="30"/>
        <v>1</v>
      </c>
      <c r="W288" s="5">
        <v>65.531999999999996</v>
      </c>
      <c r="X288" s="5">
        <v>0.69799999999999995</v>
      </c>
    </row>
    <row r="289" spans="1:24" x14ac:dyDescent="0.25">
      <c r="A289" s="5" t="s">
        <v>613</v>
      </c>
      <c r="B289" s="5">
        <v>25.894052555999998</v>
      </c>
      <c r="C289" s="5">
        <v>3303.2192</v>
      </c>
      <c r="D289" s="6">
        <v>127</v>
      </c>
      <c r="E289" s="6">
        <v>88.899999999999991</v>
      </c>
      <c r="F289" s="5">
        <v>7.9501999999999997</v>
      </c>
      <c r="G289" s="5">
        <f t="shared" si="25"/>
        <v>1</v>
      </c>
      <c r="H289" s="6" t="str">
        <f t="shared" si="26"/>
        <v>LLBB</v>
      </c>
      <c r="I289" s="5">
        <v>39.878</v>
      </c>
      <c r="J289" s="5">
        <f t="shared" si="27"/>
        <v>0</v>
      </c>
      <c r="K289" s="5">
        <v>0.90400000000000003</v>
      </c>
      <c r="L289" s="5">
        <v>5494254.8179199994</v>
      </c>
      <c r="M289" s="5">
        <v>6.9</v>
      </c>
      <c r="N289" s="5">
        <v>3.84</v>
      </c>
      <c r="O289" s="5">
        <v>40.64</v>
      </c>
      <c r="P289" s="5">
        <v>5327762.24768</v>
      </c>
      <c r="Q289" s="5">
        <v>100944.31423999999</v>
      </c>
      <c r="R289" s="5">
        <v>54077.311199999989</v>
      </c>
      <c r="S289" s="5">
        <v>40.131999999999998</v>
      </c>
      <c r="T289" s="5">
        <f t="shared" si="28"/>
        <v>1</v>
      </c>
      <c r="U289" s="5">
        <f t="shared" si="29"/>
        <v>1</v>
      </c>
      <c r="V289" s="5">
        <f t="shared" si="30"/>
        <v>1</v>
      </c>
      <c r="W289" s="5">
        <v>67.563999999999993</v>
      </c>
      <c r="X289" s="5">
        <v>0.71599999999999997</v>
      </c>
    </row>
    <row r="290" spans="1:24" x14ac:dyDescent="0.25">
      <c r="A290" s="5" t="s">
        <v>614</v>
      </c>
      <c r="B290" s="5">
        <v>20.83429516</v>
      </c>
      <c r="C290" s="5">
        <v>2670.9623999999999</v>
      </c>
      <c r="D290" s="6">
        <v>127</v>
      </c>
      <c r="E290" s="6">
        <v>88.899999999999991</v>
      </c>
      <c r="F290" s="5">
        <v>6.35</v>
      </c>
      <c r="G290" s="5">
        <f t="shared" si="25"/>
        <v>1</v>
      </c>
      <c r="H290" s="6" t="str">
        <f t="shared" si="26"/>
        <v>LLBB</v>
      </c>
      <c r="I290" s="5">
        <v>39.369999999999997</v>
      </c>
      <c r="J290" s="5">
        <f t="shared" si="27"/>
        <v>0</v>
      </c>
      <c r="K290" s="5">
        <v>0.86</v>
      </c>
      <c r="L290" s="5">
        <v>4453676.2539199991</v>
      </c>
      <c r="M290" s="5">
        <v>5.56</v>
      </c>
      <c r="N290" s="5">
        <v>3.1</v>
      </c>
      <c r="O290" s="5">
        <v>40.893999999999998</v>
      </c>
      <c r="P290" s="5">
        <v>2955243.1217599995</v>
      </c>
      <c r="Q290" s="5">
        <v>54568.923119999999</v>
      </c>
      <c r="R290" s="5">
        <v>33265.739919999993</v>
      </c>
      <c r="S290" s="5">
        <v>33.274000000000001</v>
      </c>
      <c r="T290" s="5">
        <f t="shared" si="28"/>
        <v>1</v>
      </c>
      <c r="U290" s="5">
        <f t="shared" si="29"/>
        <v>1</v>
      </c>
      <c r="V290" s="5">
        <f t="shared" si="30"/>
        <v>1</v>
      </c>
      <c r="W290" s="5">
        <v>64.007999999999996</v>
      </c>
      <c r="X290" s="5">
        <v>0.68</v>
      </c>
    </row>
    <row r="291" spans="1:24" x14ac:dyDescent="0.25">
      <c r="A291" s="5" t="s">
        <v>615</v>
      </c>
      <c r="B291" s="5">
        <v>20.83429516</v>
      </c>
      <c r="C291" s="5">
        <v>2670.9623999999999</v>
      </c>
      <c r="D291" s="6">
        <v>127</v>
      </c>
      <c r="E291" s="6">
        <v>88.899999999999991</v>
      </c>
      <c r="F291" s="5">
        <v>6.35</v>
      </c>
      <c r="G291" s="5">
        <f t="shared" si="25"/>
        <v>1</v>
      </c>
      <c r="H291" s="6" t="str">
        <f t="shared" si="26"/>
        <v>LLBB</v>
      </c>
      <c r="I291" s="5">
        <v>39.369999999999997</v>
      </c>
      <c r="J291" s="5">
        <f t="shared" si="27"/>
        <v>0</v>
      </c>
      <c r="K291" s="5">
        <v>0.86</v>
      </c>
      <c r="L291" s="5">
        <v>4453676.2539199991</v>
      </c>
      <c r="M291" s="5">
        <v>5.56</v>
      </c>
      <c r="N291" s="5">
        <v>3.1</v>
      </c>
      <c r="O291" s="5">
        <v>40.893999999999998</v>
      </c>
      <c r="P291" s="5">
        <v>3525480.1748319999</v>
      </c>
      <c r="Q291" s="5">
        <v>67186.962399999989</v>
      </c>
      <c r="R291" s="5">
        <v>37690.247199999991</v>
      </c>
      <c r="S291" s="5">
        <v>36.321999999999996</v>
      </c>
      <c r="T291" s="5">
        <f t="shared" si="28"/>
        <v>1</v>
      </c>
      <c r="U291" s="5">
        <f t="shared" si="29"/>
        <v>1</v>
      </c>
      <c r="V291" s="5">
        <f t="shared" si="30"/>
        <v>1</v>
      </c>
      <c r="W291" s="5">
        <v>65.531999999999996</v>
      </c>
      <c r="X291" s="5">
        <v>0.69599999999999995</v>
      </c>
    </row>
    <row r="292" spans="1:24" x14ac:dyDescent="0.25">
      <c r="A292" s="5" t="s">
        <v>616</v>
      </c>
      <c r="B292" s="5">
        <v>20.83429516</v>
      </c>
      <c r="C292" s="5">
        <v>2670.9623999999999</v>
      </c>
      <c r="D292" s="6">
        <v>127</v>
      </c>
      <c r="E292" s="6">
        <v>88.899999999999991</v>
      </c>
      <c r="F292" s="5">
        <v>6.35</v>
      </c>
      <c r="G292" s="5">
        <f t="shared" si="25"/>
        <v>1</v>
      </c>
      <c r="H292" s="6" t="str">
        <f t="shared" si="26"/>
        <v>LLBB</v>
      </c>
      <c r="I292" s="5">
        <v>39.369999999999997</v>
      </c>
      <c r="J292" s="5">
        <f t="shared" si="27"/>
        <v>0</v>
      </c>
      <c r="K292" s="5">
        <v>0.86</v>
      </c>
      <c r="L292" s="5">
        <v>4453676.2539199991</v>
      </c>
      <c r="M292" s="5">
        <v>5.56</v>
      </c>
      <c r="N292" s="5">
        <v>3.1</v>
      </c>
      <c r="O292" s="5">
        <v>40.893999999999998</v>
      </c>
      <c r="P292" s="5">
        <v>4245560.5411199993</v>
      </c>
      <c r="Q292" s="5">
        <v>79968.872319999995</v>
      </c>
      <c r="R292" s="5">
        <v>43097.978319999995</v>
      </c>
      <c r="S292" s="5">
        <v>39.878</v>
      </c>
      <c r="T292" s="5">
        <f t="shared" si="28"/>
        <v>1</v>
      </c>
      <c r="U292" s="5">
        <f t="shared" si="29"/>
        <v>1</v>
      </c>
      <c r="V292" s="5">
        <f t="shared" si="30"/>
        <v>1</v>
      </c>
      <c r="W292" s="5">
        <v>67.563999999999993</v>
      </c>
      <c r="X292" s="5">
        <v>0.71399999999999997</v>
      </c>
    </row>
    <row r="293" spans="1:24" x14ac:dyDescent="0.25">
      <c r="A293" s="5" t="s">
        <v>617</v>
      </c>
      <c r="B293" s="5">
        <v>38.096996863999998</v>
      </c>
      <c r="C293" s="5">
        <v>4838.7</v>
      </c>
      <c r="D293" s="6">
        <v>127</v>
      </c>
      <c r="E293" s="6">
        <v>76.199999999999989</v>
      </c>
      <c r="F293" s="5">
        <v>12.7</v>
      </c>
      <c r="G293" s="5">
        <f t="shared" si="25"/>
        <v>1</v>
      </c>
      <c r="H293" s="6" t="str">
        <f t="shared" si="26"/>
        <v>LLBB</v>
      </c>
      <c r="I293" s="5">
        <v>44.195999999999998</v>
      </c>
      <c r="J293" s="5">
        <f t="shared" si="27"/>
        <v>0</v>
      </c>
      <c r="K293" s="5">
        <v>1.25</v>
      </c>
      <c r="L293" s="5">
        <v>7866773.9438399989</v>
      </c>
      <c r="M293" s="5">
        <v>10.199999999999999</v>
      </c>
      <c r="N293" s="5">
        <v>5.78</v>
      </c>
      <c r="O293" s="5">
        <v>40.131999999999998</v>
      </c>
      <c r="P293" s="5">
        <v>3845978.3725439999</v>
      </c>
      <c r="Q293" s="5">
        <v>91767.55839999998</v>
      </c>
      <c r="R293" s="5">
        <v>50472.157119999996</v>
      </c>
      <c r="S293" s="5">
        <v>28.194000000000003</v>
      </c>
      <c r="T293" s="5">
        <f t="shared" si="28"/>
        <v>1</v>
      </c>
      <c r="U293" s="5">
        <f t="shared" si="29"/>
        <v>1</v>
      </c>
      <c r="V293" s="5">
        <f t="shared" si="30"/>
        <v>1</v>
      </c>
      <c r="W293" s="5">
        <v>61.975999999999992</v>
      </c>
      <c r="X293" s="5">
        <v>0.628</v>
      </c>
    </row>
    <row r="294" spans="1:24" x14ac:dyDescent="0.25">
      <c r="A294" s="5" t="s">
        <v>618</v>
      </c>
      <c r="B294" s="5">
        <v>38.096996863999998</v>
      </c>
      <c r="C294" s="5">
        <v>4838.7</v>
      </c>
      <c r="D294" s="6">
        <v>127</v>
      </c>
      <c r="E294" s="6">
        <v>76.199999999999989</v>
      </c>
      <c r="F294" s="5">
        <v>12.7</v>
      </c>
      <c r="G294" s="5">
        <f t="shared" si="25"/>
        <v>1</v>
      </c>
      <c r="H294" s="6" t="str">
        <f t="shared" si="26"/>
        <v>LLBB</v>
      </c>
      <c r="I294" s="5">
        <v>44.195999999999998</v>
      </c>
      <c r="J294" s="5">
        <f t="shared" si="27"/>
        <v>0</v>
      </c>
      <c r="K294" s="5">
        <v>1.25</v>
      </c>
      <c r="L294" s="5">
        <v>7866773.9438399989</v>
      </c>
      <c r="M294" s="5">
        <v>10.199999999999999</v>
      </c>
      <c r="N294" s="5">
        <v>5.78</v>
      </c>
      <c r="O294" s="5">
        <v>40.131999999999998</v>
      </c>
      <c r="P294" s="5">
        <v>4786661.3943999996</v>
      </c>
      <c r="Q294" s="5">
        <v>114709.44799999999</v>
      </c>
      <c r="R294" s="5">
        <v>59157.301039999991</v>
      </c>
      <c r="S294" s="5">
        <v>31.495999999999999</v>
      </c>
      <c r="T294" s="5">
        <f t="shared" si="28"/>
        <v>1</v>
      </c>
      <c r="U294" s="5">
        <f t="shared" si="29"/>
        <v>1</v>
      </c>
      <c r="V294" s="5">
        <f t="shared" si="30"/>
        <v>1</v>
      </c>
      <c r="W294" s="5">
        <v>63.753999999999991</v>
      </c>
      <c r="X294" s="5">
        <v>0.64600000000000002</v>
      </c>
    </row>
    <row r="295" spans="1:24" x14ac:dyDescent="0.25">
      <c r="A295" s="5" t="s">
        <v>619</v>
      </c>
      <c r="B295" s="5">
        <v>38.096996863999998</v>
      </c>
      <c r="C295" s="5">
        <v>4838.7</v>
      </c>
      <c r="D295" s="6">
        <v>127</v>
      </c>
      <c r="E295" s="6">
        <v>76.199999999999989</v>
      </c>
      <c r="F295" s="5">
        <v>12.7</v>
      </c>
      <c r="G295" s="5">
        <f t="shared" si="25"/>
        <v>1</v>
      </c>
      <c r="H295" s="6" t="str">
        <f t="shared" si="26"/>
        <v>LLBB</v>
      </c>
      <c r="I295" s="5">
        <v>44.195999999999998</v>
      </c>
      <c r="J295" s="5">
        <f t="shared" si="27"/>
        <v>0</v>
      </c>
      <c r="K295" s="5">
        <v>1.25</v>
      </c>
      <c r="L295" s="5">
        <v>7866773.9438399989</v>
      </c>
      <c r="M295" s="5">
        <v>10.199999999999999</v>
      </c>
      <c r="N295" s="5">
        <v>5.78</v>
      </c>
      <c r="O295" s="5">
        <v>40.131999999999998</v>
      </c>
      <c r="P295" s="5">
        <v>6035355.6711999997</v>
      </c>
      <c r="Q295" s="5">
        <v>137815.20823999998</v>
      </c>
      <c r="R295" s="5">
        <v>70464.375199999995</v>
      </c>
      <c r="S295" s="5">
        <v>35.305999999999997</v>
      </c>
      <c r="T295" s="5">
        <f t="shared" si="28"/>
        <v>1</v>
      </c>
      <c r="U295" s="5">
        <f t="shared" si="29"/>
        <v>1</v>
      </c>
      <c r="V295" s="5">
        <f t="shared" si="30"/>
        <v>1</v>
      </c>
      <c r="W295" s="5">
        <v>65.531999999999996</v>
      </c>
      <c r="X295" s="5">
        <v>0.66700000000000004</v>
      </c>
    </row>
    <row r="296" spans="1:24" x14ac:dyDescent="0.25">
      <c r="A296" s="5" t="s">
        <v>620</v>
      </c>
      <c r="B296" s="5">
        <v>33.632505043999998</v>
      </c>
      <c r="C296" s="5">
        <v>4270.9592000000002</v>
      </c>
      <c r="D296" s="6">
        <v>127</v>
      </c>
      <c r="E296" s="6">
        <v>76.199999999999989</v>
      </c>
      <c r="F296" s="5">
        <v>11.1252</v>
      </c>
      <c r="G296" s="5">
        <f t="shared" si="25"/>
        <v>1</v>
      </c>
      <c r="H296" s="6" t="str">
        <f t="shared" si="26"/>
        <v>LLBB</v>
      </c>
      <c r="I296" s="5">
        <v>43.687999999999995</v>
      </c>
      <c r="J296" s="5">
        <f t="shared" si="27"/>
        <v>0</v>
      </c>
      <c r="K296" s="5">
        <v>1.22</v>
      </c>
      <c r="L296" s="5">
        <v>6992687.9500799999</v>
      </c>
      <c r="M296" s="5">
        <v>9.06</v>
      </c>
      <c r="N296" s="5">
        <v>5.12</v>
      </c>
      <c r="O296" s="5">
        <v>40.386000000000003</v>
      </c>
      <c r="P296" s="5">
        <v>3334013.7190559995</v>
      </c>
      <c r="Q296" s="5">
        <v>78330.165919999999</v>
      </c>
      <c r="R296" s="5">
        <v>43753.460879999991</v>
      </c>
      <c r="S296" s="5">
        <v>27.94</v>
      </c>
      <c r="T296" s="5">
        <f t="shared" si="28"/>
        <v>1</v>
      </c>
      <c r="U296" s="5">
        <f t="shared" si="29"/>
        <v>1</v>
      </c>
      <c r="V296" s="5">
        <f t="shared" si="30"/>
        <v>1</v>
      </c>
      <c r="W296" s="5">
        <v>62.230000000000004</v>
      </c>
      <c r="X296" s="5">
        <v>0.626</v>
      </c>
    </row>
    <row r="297" spans="1:24" x14ac:dyDescent="0.25">
      <c r="A297" s="5" t="s">
        <v>621</v>
      </c>
      <c r="B297" s="5">
        <v>33.632505043999998</v>
      </c>
      <c r="C297" s="5">
        <v>4270.9592000000002</v>
      </c>
      <c r="D297" s="6">
        <v>127</v>
      </c>
      <c r="E297" s="6">
        <v>76.199999999999989</v>
      </c>
      <c r="F297" s="5">
        <v>11.1252</v>
      </c>
      <c r="G297" s="5">
        <f t="shared" si="25"/>
        <v>1</v>
      </c>
      <c r="H297" s="6" t="str">
        <f t="shared" si="26"/>
        <v>LLBB</v>
      </c>
      <c r="I297" s="5">
        <v>43.687999999999995</v>
      </c>
      <c r="J297" s="5">
        <f t="shared" si="27"/>
        <v>0</v>
      </c>
      <c r="K297" s="5">
        <v>1.22</v>
      </c>
      <c r="L297" s="5">
        <v>6992687.9500799999</v>
      </c>
      <c r="M297" s="5">
        <v>9.06</v>
      </c>
      <c r="N297" s="5">
        <v>5.12</v>
      </c>
      <c r="O297" s="5">
        <v>40.386000000000003</v>
      </c>
      <c r="P297" s="5">
        <v>4162314.2559999996</v>
      </c>
      <c r="Q297" s="5">
        <v>98650.125279999978</v>
      </c>
      <c r="R297" s="5">
        <v>51455.380959999995</v>
      </c>
      <c r="S297" s="5">
        <v>31.241999999999997</v>
      </c>
      <c r="T297" s="5">
        <f t="shared" si="28"/>
        <v>1</v>
      </c>
      <c r="U297" s="5">
        <f t="shared" si="29"/>
        <v>1</v>
      </c>
      <c r="V297" s="5">
        <f t="shared" si="30"/>
        <v>1</v>
      </c>
      <c r="W297" s="5">
        <v>63.753999999999991</v>
      </c>
      <c r="X297" s="5">
        <v>0.64400000000000002</v>
      </c>
    </row>
    <row r="298" spans="1:24" x14ac:dyDescent="0.25">
      <c r="A298" s="5" t="s">
        <v>622</v>
      </c>
      <c r="B298" s="5">
        <v>33.632505043999998</v>
      </c>
      <c r="C298" s="5">
        <v>4270.9592000000002</v>
      </c>
      <c r="D298" s="6">
        <v>127</v>
      </c>
      <c r="E298" s="6">
        <v>76.199999999999989</v>
      </c>
      <c r="F298" s="5">
        <v>11.1252</v>
      </c>
      <c r="G298" s="5">
        <f t="shared" si="25"/>
        <v>1</v>
      </c>
      <c r="H298" s="6" t="str">
        <f t="shared" si="26"/>
        <v>LLBB</v>
      </c>
      <c r="I298" s="5">
        <v>43.687999999999995</v>
      </c>
      <c r="J298" s="5">
        <f t="shared" si="27"/>
        <v>0</v>
      </c>
      <c r="K298" s="5">
        <v>1.22</v>
      </c>
      <c r="L298" s="5">
        <v>6992687.9500799999</v>
      </c>
      <c r="M298" s="5">
        <v>9.06</v>
      </c>
      <c r="N298" s="5">
        <v>5.12</v>
      </c>
      <c r="O298" s="5">
        <v>40.386000000000003</v>
      </c>
      <c r="P298" s="5">
        <v>5244515.962559999</v>
      </c>
      <c r="Q298" s="5">
        <v>118970.08463999999</v>
      </c>
      <c r="R298" s="5">
        <v>61123.748719999996</v>
      </c>
      <c r="S298" s="5">
        <v>35.051999999999992</v>
      </c>
      <c r="T298" s="5">
        <f t="shared" si="28"/>
        <v>1</v>
      </c>
      <c r="U298" s="5">
        <f t="shared" si="29"/>
        <v>1</v>
      </c>
      <c r="V298" s="5">
        <f t="shared" si="30"/>
        <v>1</v>
      </c>
      <c r="W298" s="5">
        <v>65.531999999999996</v>
      </c>
      <c r="X298" s="5">
        <v>0.66400000000000003</v>
      </c>
    </row>
    <row r="299" spans="1:24" x14ac:dyDescent="0.25">
      <c r="A299" s="5" t="s">
        <v>623</v>
      </c>
      <c r="B299" s="5">
        <v>29.168013224000003</v>
      </c>
      <c r="C299" s="5">
        <v>3690.3151999999995</v>
      </c>
      <c r="D299" s="6">
        <v>127</v>
      </c>
      <c r="E299" s="6">
        <v>76.199999999999989</v>
      </c>
      <c r="F299" s="5">
        <v>9.5249999999999986</v>
      </c>
      <c r="G299" s="5">
        <f t="shared" si="25"/>
        <v>1</v>
      </c>
      <c r="H299" s="6" t="str">
        <f t="shared" si="26"/>
        <v>LLBB</v>
      </c>
      <c r="I299" s="5">
        <v>42.925999999999995</v>
      </c>
      <c r="J299" s="5">
        <f t="shared" si="27"/>
        <v>0</v>
      </c>
      <c r="K299" s="5">
        <v>1.19</v>
      </c>
      <c r="L299" s="5">
        <v>6118601.9563199989</v>
      </c>
      <c r="M299" s="5">
        <v>7.86</v>
      </c>
      <c r="N299" s="5">
        <v>4.4400000000000004</v>
      </c>
      <c r="O299" s="5">
        <v>40.64</v>
      </c>
      <c r="P299" s="5">
        <v>2830373.6940799998</v>
      </c>
      <c r="Q299" s="5">
        <v>65384.38536</v>
      </c>
      <c r="R299" s="5">
        <v>37198.635279999995</v>
      </c>
      <c r="S299" s="5">
        <v>27.686</v>
      </c>
      <c r="T299" s="5">
        <f t="shared" si="28"/>
        <v>1</v>
      </c>
      <c r="U299" s="5">
        <f t="shared" si="29"/>
        <v>1</v>
      </c>
      <c r="V299" s="5">
        <f t="shared" si="30"/>
        <v>1</v>
      </c>
      <c r="W299" s="5">
        <v>62.230000000000004</v>
      </c>
      <c r="X299" s="5">
        <v>0.624</v>
      </c>
    </row>
    <row r="300" spans="1:24" x14ac:dyDescent="0.25">
      <c r="A300" s="5" t="s">
        <v>624</v>
      </c>
      <c r="B300" s="5">
        <v>29.168013224000003</v>
      </c>
      <c r="C300" s="5">
        <v>3690.3151999999995</v>
      </c>
      <c r="D300" s="6">
        <v>127</v>
      </c>
      <c r="E300" s="6">
        <v>76.199999999999989</v>
      </c>
      <c r="F300" s="5">
        <v>9.5249999999999986</v>
      </c>
      <c r="G300" s="5">
        <f t="shared" si="25"/>
        <v>1</v>
      </c>
      <c r="H300" s="6" t="str">
        <f t="shared" si="26"/>
        <v>LLBB</v>
      </c>
      <c r="I300" s="5">
        <v>42.925999999999995</v>
      </c>
      <c r="J300" s="5">
        <f t="shared" si="27"/>
        <v>0</v>
      </c>
      <c r="K300" s="5">
        <v>1.19</v>
      </c>
      <c r="L300" s="5">
        <v>6118601.9563199989</v>
      </c>
      <c r="M300" s="5">
        <v>7.86</v>
      </c>
      <c r="N300" s="5">
        <v>4.4400000000000004</v>
      </c>
      <c r="O300" s="5">
        <v>40.64</v>
      </c>
      <c r="P300" s="5">
        <v>3542129.4318559994</v>
      </c>
      <c r="Q300" s="5">
        <v>83082.414479999992</v>
      </c>
      <c r="R300" s="5">
        <v>43753.460879999991</v>
      </c>
      <c r="S300" s="5">
        <v>30.987999999999996</v>
      </c>
      <c r="T300" s="5">
        <f t="shared" si="28"/>
        <v>1</v>
      </c>
      <c r="U300" s="5">
        <f t="shared" si="29"/>
        <v>1</v>
      </c>
      <c r="V300" s="5">
        <f t="shared" si="30"/>
        <v>1</v>
      </c>
      <c r="W300" s="5">
        <v>63.753999999999991</v>
      </c>
      <c r="X300" s="5">
        <v>0.64200000000000002</v>
      </c>
    </row>
    <row r="301" spans="1:24" x14ac:dyDescent="0.25">
      <c r="A301" s="5" t="s">
        <v>625</v>
      </c>
      <c r="B301" s="5">
        <v>29.168013224000003</v>
      </c>
      <c r="C301" s="5">
        <v>3690.3151999999995</v>
      </c>
      <c r="D301" s="6">
        <v>127</v>
      </c>
      <c r="E301" s="6">
        <v>76.199999999999989</v>
      </c>
      <c r="F301" s="5">
        <v>9.5249999999999986</v>
      </c>
      <c r="G301" s="5">
        <f t="shared" si="25"/>
        <v>1</v>
      </c>
      <c r="H301" s="6" t="str">
        <f t="shared" si="26"/>
        <v>LLBB</v>
      </c>
      <c r="I301" s="5">
        <v>42.925999999999995</v>
      </c>
      <c r="J301" s="5">
        <f t="shared" si="27"/>
        <v>0</v>
      </c>
      <c r="K301" s="5">
        <v>1.19</v>
      </c>
      <c r="L301" s="5">
        <v>6118601.9563199989</v>
      </c>
      <c r="M301" s="5">
        <v>7.86</v>
      </c>
      <c r="N301" s="5">
        <v>4.4400000000000004</v>
      </c>
      <c r="O301" s="5">
        <v>40.64</v>
      </c>
      <c r="P301" s="5">
        <v>4412053.1113599995</v>
      </c>
      <c r="Q301" s="5">
        <v>100616.57295999999</v>
      </c>
      <c r="R301" s="5">
        <v>51455.380959999995</v>
      </c>
      <c r="S301" s="5">
        <v>34.544000000000004</v>
      </c>
      <c r="T301" s="5">
        <f t="shared" si="28"/>
        <v>1</v>
      </c>
      <c r="U301" s="5">
        <f t="shared" si="29"/>
        <v>1</v>
      </c>
      <c r="V301" s="5">
        <f t="shared" si="30"/>
        <v>1</v>
      </c>
      <c r="W301" s="5">
        <v>65.785999999999987</v>
      </c>
      <c r="X301" s="5">
        <v>0.66100000000000003</v>
      </c>
    </row>
    <row r="302" spans="1:24" x14ac:dyDescent="0.25">
      <c r="A302" s="5" t="s">
        <v>626</v>
      </c>
      <c r="B302" s="5">
        <v>24.405888615999999</v>
      </c>
      <c r="C302" s="5">
        <v>3109.6712000000002</v>
      </c>
      <c r="D302" s="6">
        <v>127</v>
      </c>
      <c r="E302" s="6">
        <v>76.199999999999989</v>
      </c>
      <c r="F302" s="5">
        <v>7.9501999999999997</v>
      </c>
      <c r="G302" s="5">
        <f t="shared" si="25"/>
        <v>1</v>
      </c>
      <c r="H302" s="6" t="str">
        <f t="shared" si="26"/>
        <v>LLBB</v>
      </c>
      <c r="I302" s="5">
        <v>42.417999999999999</v>
      </c>
      <c r="J302" s="5">
        <f t="shared" si="27"/>
        <v>0</v>
      </c>
      <c r="K302" s="5">
        <v>1.1399999999999999</v>
      </c>
      <c r="L302" s="5">
        <v>5202892.8199999994</v>
      </c>
      <c r="M302" s="5">
        <v>6.64</v>
      </c>
      <c r="N302" s="5">
        <v>3.74</v>
      </c>
      <c r="O302" s="5">
        <v>40.893999999999998</v>
      </c>
      <c r="P302" s="5">
        <v>2339220.6118719997</v>
      </c>
      <c r="Q302" s="5">
        <v>53094.087359999998</v>
      </c>
      <c r="R302" s="5">
        <v>30643.809679999998</v>
      </c>
      <c r="S302" s="5">
        <v>27.431999999999999</v>
      </c>
      <c r="T302" s="5">
        <f t="shared" si="28"/>
        <v>1</v>
      </c>
      <c r="U302" s="5">
        <f t="shared" si="29"/>
        <v>1</v>
      </c>
      <c r="V302" s="5">
        <f t="shared" si="30"/>
        <v>1</v>
      </c>
      <c r="W302" s="5">
        <v>62.483999999999995</v>
      </c>
      <c r="X302" s="5">
        <v>0.623</v>
      </c>
    </row>
    <row r="303" spans="1:24" x14ac:dyDescent="0.25">
      <c r="A303" s="5" t="s">
        <v>627</v>
      </c>
      <c r="B303" s="5">
        <v>24.405888615999999</v>
      </c>
      <c r="C303" s="5">
        <v>3109.6712000000002</v>
      </c>
      <c r="D303" s="6">
        <v>127</v>
      </c>
      <c r="E303" s="6">
        <v>76.199999999999989</v>
      </c>
      <c r="F303" s="5">
        <v>7.9501999999999997</v>
      </c>
      <c r="G303" s="5">
        <f t="shared" si="25"/>
        <v>1</v>
      </c>
      <c r="H303" s="6" t="str">
        <f t="shared" si="26"/>
        <v>LLBB</v>
      </c>
      <c r="I303" s="5">
        <v>42.417999999999999</v>
      </c>
      <c r="J303" s="5">
        <f t="shared" si="27"/>
        <v>0</v>
      </c>
      <c r="K303" s="5">
        <v>1.1399999999999999</v>
      </c>
      <c r="L303" s="5">
        <v>5202892.8199999994</v>
      </c>
      <c r="M303" s="5">
        <v>6.64</v>
      </c>
      <c r="N303" s="5">
        <v>3.74</v>
      </c>
      <c r="O303" s="5">
        <v>40.893999999999998</v>
      </c>
      <c r="P303" s="5">
        <v>2938593.8647359996</v>
      </c>
      <c r="Q303" s="5">
        <v>68006.315600000002</v>
      </c>
      <c r="R303" s="5">
        <v>36215.411439999996</v>
      </c>
      <c r="S303" s="5">
        <v>30.733999999999998</v>
      </c>
      <c r="T303" s="5">
        <f t="shared" si="28"/>
        <v>1</v>
      </c>
      <c r="U303" s="5">
        <f t="shared" si="29"/>
        <v>1</v>
      </c>
      <c r="V303" s="5">
        <f t="shared" si="30"/>
        <v>1</v>
      </c>
      <c r="W303" s="5">
        <v>64.007999999999996</v>
      </c>
      <c r="X303" s="5">
        <v>0.64</v>
      </c>
    </row>
    <row r="304" spans="1:24" x14ac:dyDescent="0.25">
      <c r="A304" s="5" t="s">
        <v>628</v>
      </c>
      <c r="B304" s="5">
        <v>24.405888615999999</v>
      </c>
      <c r="C304" s="5">
        <v>3109.6712000000002</v>
      </c>
      <c r="D304" s="6">
        <v>127</v>
      </c>
      <c r="E304" s="6">
        <v>76.199999999999989</v>
      </c>
      <c r="F304" s="5">
        <v>7.9501999999999997</v>
      </c>
      <c r="G304" s="5">
        <f t="shared" si="25"/>
        <v>1</v>
      </c>
      <c r="H304" s="6" t="str">
        <f t="shared" si="26"/>
        <v>LLBB</v>
      </c>
      <c r="I304" s="5">
        <v>42.417999999999999</v>
      </c>
      <c r="J304" s="5">
        <f t="shared" si="27"/>
        <v>0</v>
      </c>
      <c r="K304" s="5">
        <v>1.1399999999999999</v>
      </c>
      <c r="L304" s="5">
        <v>5202892.8199999994</v>
      </c>
      <c r="M304" s="5">
        <v>6.64</v>
      </c>
      <c r="N304" s="5">
        <v>3.74</v>
      </c>
      <c r="O304" s="5">
        <v>40.893999999999998</v>
      </c>
      <c r="P304" s="5">
        <v>3654511.9167679995</v>
      </c>
      <c r="Q304" s="5">
        <v>82754.67319999999</v>
      </c>
      <c r="R304" s="5">
        <v>42606.366399999999</v>
      </c>
      <c r="S304" s="5">
        <v>34.29</v>
      </c>
      <c r="T304" s="5">
        <f t="shared" si="28"/>
        <v>1</v>
      </c>
      <c r="U304" s="5">
        <f t="shared" si="29"/>
        <v>1</v>
      </c>
      <c r="V304" s="5">
        <f t="shared" si="30"/>
        <v>1</v>
      </c>
      <c r="W304" s="5">
        <v>65.785999999999987</v>
      </c>
      <c r="X304" s="5">
        <v>0.65900000000000003</v>
      </c>
    </row>
    <row r="305" spans="1:24" x14ac:dyDescent="0.25">
      <c r="A305" s="5" t="s">
        <v>629</v>
      </c>
      <c r="B305" s="5">
        <v>19.643764007999998</v>
      </c>
      <c r="C305" s="5">
        <v>2503.2207999999996</v>
      </c>
      <c r="D305" s="6">
        <v>127</v>
      </c>
      <c r="E305" s="6">
        <v>76.199999999999989</v>
      </c>
      <c r="F305" s="5">
        <v>6.35</v>
      </c>
      <c r="G305" s="5">
        <f t="shared" si="25"/>
        <v>1</v>
      </c>
      <c r="H305" s="6" t="str">
        <f t="shared" si="26"/>
        <v>LLBB</v>
      </c>
      <c r="I305" s="5">
        <v>41.655999999999992</v>
      </c>
      <c r="J305" s="5">
        <f t="shared" si="27"/>
        <v>0</v>
      </c>
      <c r="K305" s="5">
        <v>1.1200000000000001</v>
      </c>
      <c r="L305" s="5">
        <v>4245560.5411199993</v>
      </c>
      <c r="M305" s="5">
        <v>5.36</v>
      </c>
      <c r="N305" s="5">
        <v>3.02</v>
      </c>
      <c r="O305" s="5">
        <v>41.148000000000003</v>
      </c>
      <c r="P305" s="5">
        <v>1848067.529664</v>
      </c>
      <c r="Q305" s="5">
        <v>41131.53063999999</v>
      </c>
      <c r="R305" s="5">
        <v>24252.854719999996</v>
      </c>
      <c r="S305" s="5">
        <v>27.178000000000001</v>
      </c>
      <c r="T305" s="5">
        <f t="shared" si="28"/>
        <v>1</v>
      </c>
      <c r="U305" s="5">
        <f t="shared" si="29"/>
        <v>1</v>
      </c>
      <c r="V305" s="5">
        <f t="shared" si="30"/>
        <v>1</v>
      </c>
      <c r="W305" s="5">
        <v>62.483999999999995</v>
      </c>
      <c r="X305" s="5">
        <v>0.622</v>
      </c>
    </row>
    <row r="306" spans="1:24" x14ac:dyDescent="0.25">
      <c r="A306" s="5" t="s">
        <v>630</v>
      </c>
      <c r="B306" s="5">
        <v>19.643764007999998</v>
      </c>
      <c r="C306" s="5">
        <v>2503.2207999999996</v>
      </c>
      <c r="D306" s="6">
        <v>127</v>
      </c>
      <c r="E306" s="6">
        <v>76.199999999999989</v>
      </c>
      <c r="F306" s="5">
        <v>6.35</v>
      </c>
      <c r="G306" s="5">
        <f t="shared" si="25"/>
        <v>1</v>
      </c>
      <c r="H306" s="6" t="str">
        <f t="shared" si="26"/>
        <v>LLBB</v>
      </c>
      <c r="I306" s="5">
        <v>41.655999999999992</v>
      </c>
      <c r="J306" s="5">
        <f t="shared" si="27"/>
        <v>0</v>
      </c>
      <c r="K306" s="5">
        <v>1.1200000000000001</v>
      </c>
      <c r="L306" s="5">
        <v>4245560.5411199993</v>
      </c>
      <c r="M306" s="5">
        <v>5.36</v>
      </c>
      <c r="N306" s="5">
        <v>3.02</v>
      </c>
      <c r="O306" s="5">
        <v>41.148000000000003</v>
      </c>
      <c r="P306" s="5">
        <v>2285110.526544</v>
      </c>
      <c r="Q306" s="5">
        <v>53094.087359999998</v>
      </c>
      <c r="R306" s="5">
        <v>28185.750079999998</v>
      </c>
      <c r="S306" s="5">
        <v>30.225999999999996</v>
      </c>
      <c r="T306" s="5">
        <f t="shared" si="28"/>
        <v>1</v>
      </c>
      <c r="U306" s="5">
        <f t="shared" si="29"/>
        <v>1</v>
      </c>
      <c r="V306" s="5">
        <f t="shared" si="30"/>
        <v>1</v>
      </c>
      <c r="W306" s="5">
        <v>64.007999999999996</v>
      </c>
      <c r="X306" s="5">
        <v>0.63800000000000001</v>
      </c>
    </row>
    <row r="307" spans="1:24" x14ac:dyDescent="0.25">
      <c r="A307" s="5" t="s">
        <v>631</v>
      </c>
      <c r="B307" s="5">
        <v>19.643764007999998</v>
      </c>
      <c r="C307" s="5">
        <v>2503.2207999999996</v>
      </c>
      <c r="D307" s="6">
        <v>127</v>
      </c>
      <c r="E307" s="6">
        <v>76.199999999999989</v>
      </c>
      <c r="F307" s="5">
        <v>6.35</v>
      </c>
      <c r="G307" s="5">
        <f t="shared" si="25"/>
        <v>1</v>
      </c>
      <c r="H307" s="6" t="str">
        <f t="shared" si="26"/>
        <v>LLBB</v>
      </c>
      <c r="I307" s="5">
        <v>41.655999999999992</v>
      </c>
      <c r="J307" s="5">
        <f t="shared" si="27"/>
        <v>0</v>
      </c>
      <c r="K307" s="5">
        <v>1.1200000000000001</v>
      </c>
      <c r="L307" s="5">
        <v>4245560.5411199993</v>
      </c>
      <c r="M307" s="5">
        <v>5.36</v>
      </c>
      <c r="N307" s="5">
        <v>3.02</v>
      </c>
      <c r="O307" s="5">
        <v>41.148000000000003</v>
      </c>
      <c r="P307" s="5">
        <v>2855347.5796159999</v>
      </c>
      <c r="Q307" s="5">
        <v>65056.644079999998</v>
      </c>
      <c r="R307" s="5">
        <v>33265.739919999993</v>
      </c>
      <c r="S307" s="5">
        <v>33.781999999999996</v>
      </c>
      <c r="T307" s="5">
        <f t="shared" si="28"/>
        <v>1</v>
      </c>
      <c r="U307" s="5">
        <f t="shared" si="29"/>
        <v>1</v>
      </c>
      <c r="V307" s="5">
        <f t="shared" si="30"/>
        <v>1</v>
      </c>
      <c r="W307" s="5">
        <v>65.785999999999987</v>
      </c>
      <c r="X307" s="5">
        <v>0.65700000000000003</v>
      </c>
    </row>
    <row r="308" spans="1:24" x14ac:dyDescent="0.25">
      <c r="A308" s="5" t="s">
        <v>632</v>
      </c>
      <c r="B308" s="5">
        <v>35.418301772</v>
      </c>
      <c r="C308" s="5">
        <v>4516.12</v>
      </c>
      <c r="D308" s="6">
        <v>101.6</v>
      </c>
      <c r="E308" s="6">
        <v>88.899999999999991</v>
      </c>
      <c r="F308" s="5">
        <v>12.7</v>
      </c>
      <c r="G308" s="5">
        <f t="shared" si="25"/>
        <v>1</v>
      </c>
      <c r="H308" s="6" t="str">
        <f t="shared" si="26"/>
        <v>LLBB</v>
      </c>
      <c r="I308" s="5">
        <v>31.495999999999999</v>
      </c>
      <c r="J308" s="5">
        <f t="shared" si="27"/>
        <v>0</v>
      </c>
      <c r="K308" s="5">
        <v>0.5</v>
      </c>
      <c r="L308" s="5">
        <v>4412053.1113599995</v>
      </c>
      <c r="M308" s="5">
        <v>6.92</v>
      </c>
      <c r="N308" s="5">
        <v>3.84</v>
      </c>
      <c r="O308" s="5">
        <v>31.241999999999997</v>
      </c>
      <c r="P308" s="5">
        <v>6035355.6711999997</v>
      </c>
      <c r="Q308" s="5">
        <v>114053.96543999999</v>
      </c>
      <c r="R308" s="5">
        <v>67842.444959999993</v>
      </c>
      <c r="S308" s="5">
        <v>36.575999999999993</v>
      </c>
      <c r="T308" s="5">
        <f t="shared" si="28"/>
        <v>1</v>
      </c>
      <c r="U308" s="5">
        <f t="shared" si="29"/>
        <v>1</v>
      </c>
      <c r="V308" s="5">
        <f t="shared" si="30"/>
        <v>1</v>
      </c>
      <c r="W308" s="5">
        <v>54.356000000000002</v>
      </c>
      <c r="X308" s="5">
        <v>0.78400000000000003</v>
      </c>
    </row>
    <row r="309" spans="1:24" x14ac:dyDescent="0.25">
      <c r="A309" s="5" t="s">
        <v>633</v>
      </c>
      <c r="B309" s="5">
        <v>35.418301772</v>
      </c>
      <c r="C309" s="5">
        <v>4516.12</v>
      </c>
      <c r="D309" s="6">
        <v>101.6</v>
      </c>
      <c r="E309" s="6">
        <v>88.899999999999991</v>
      </c>
      <c r="F309" s="5">
        <v>12.7</v>
      </c>
      <c r="G309" s="5">
        <f t="shared" si="25"/>
        <v>1</v>
      </c>
      <c r="H309" s="6" t="str">
        <f t="shared" si="26"/>
        <v>LLBB</v>
      </c>
      <c r="I309" s="5">
        <v>31.495999999999999</v>
      </c>
      <c r="J309" s="5">
        <f t="shared" si="27"/>
        <v>0</v>
      </c>
      <c r="K309" s="5">
        <v>0.5</v>
      </c>
      <c r="L309" s="5">
        <v>4412053.1113599995</v>
      </c>
      <c r="M309" s="5">
        <v>6.92</v>
      </c>
      <c r="N309" s="5">
        <v>3.84</v>
      </c>
      <c r="O309" s="5">
        <v>31.241999999999997</v>
      </c>
      <c r="P309" s="5">
        <v>7200803.6628799997</v>
      </c>
      <c r="Q309" s="5">
        <v>135521.01927999998</v>
      </c>
      <c r="R309" s="5">
        <v>76855.330159999998</v>
      </c>
      <c r="S309" s="5">
        <v>39.878</v>
      </c>
      <c r="T309" s="5">
        <f t="shared" si="28"/>
        <v>1</v>
      </c>
      <c r="U309" s="5">
        <f t="shared" si="29"/>
        <v>1</v>
      </c>
      <c r="V309" s="5">
        <f t="shared" si="30"/>
        <v>1</v>
      </c>
      <c r="W309" s="5">
        <v>56.641999999999996</v>
      </c>
      <c r="X309" s="5">
        <v>0.80200000000000005</v>
      </c>
    </row>
    <row r="310" spans="1:24" x14ac:dyDescent="0.25">
      <c r="A310" s="5" t="s">
        <v>634</v>
      </c>
      <c r="B310" s="5">
        <v>35.418301772</v>
      </c>
      <c r="C310" s="5">
        <v>4516.12</v>
      </c>
      <c r="D310" s="6">
        <v>101.6</v>
      </c>
      <c r="E310" s="6">
        <v>88.899999999999991</v>
      </c>
      <c r="F310" s="5">
        <v>12.7</v>
      </c>
      <c r="G310" s="5">
        <f t="shared" si="25"/>
        <v>1</v>
      </c>
      <c r="H310" s="6" t="str">
        <f t="shared" si="26"/>
        <v>LLBB</v>
      </c>
      <c r="I310" s="5">
        <v>31.495999999999999</v>
      </c>
      <c r="J310" s="5">
        <f t="shared" si="27"/>
        <v>0</v>
      </c>
      <c r="K310" s="5">
        <v>0.5</v>
      </c>
      <c r="L310" s="5">
        <v>4412053.1113599995</v>
      </c>
      <c r="M310" s="5">
        <v>6.92</v>
      </c>
      <c r="N310" s="5">
        <v>3.84</v>
      </c>
      <c r="O310" s="5">
        <v>31.241999999999997</v>
      </c>
      <c r="P310" s="5">
        <v>8615990.5099199992</v>
      </c>
      <c r="Q310" s="5">
        <v>156988.07311999999</v>
      </c>
      <c r="R310" s="5">
        <v>87506.921759999983</v>
      </c>
      <c r="S310" s="5">
        <v>43.687999999999995</v>
      </c>
      <c r="T310" s="5">
        <f t="shared" si="28"/>
        <v>1</v>
      </c>
      <c r="U310" s="5">
        <f t="shared" si="29"/>
        <v>1</v>
      </c>
      <c r="V310" s="5">
        <f t="shared" si="30"/>
        <v>1</v>
      </c>
      <c r="W310" s="5">
        <v>59.181999999999995</v>
      </c>
      <c r="X310" s="5">
        <v>0.81899999999999995</v>
      </c>
    </row>
    <row r="311" spans="1:24" x14ac:dyDescent="0.25">
      <c r="A311" s="5" t="s">
        <v>635</v>
      </c>
      <c r="B311" s="5">
        <v>27.084583707999997</v>
      </c>
      <c r="C311" s="5">
        <v>3458.0576000000001</v>
      </c>
      <c r="D311" s="6">
        <v>101.6</v>
      </c>
      <c r="E311" s="6">
        <v>88.899999999999991</v>
      </c>
      <c r="F311" s="5">
        <v>9.5249999999999986</v>
      </c>
      <c r="G311" s="5">
        <f t="shared" si="25"/>
        <v>1</v>
      </c>
      <c r="H311" s="6" t="str">
        <f t="shared" si="26"/>
        <v>LLBB</v>
      </c>
      <c r="I311" s="5">
        <v>30.479999999999997</v>
      </c>
      <c r="J311" s="5">
        <f t="shared" si="27"/>
        <v>0</v>
      </c>
      <c r="K311" s="5">
        <v>0.42699999999999999</v>
      </c>
      <c r="L311" s="5">
        <v>3454720.8324799999</v>
      </c>
      <c r="M311" s="5">
        <v>5.32</v>
      </c>
      <c r="N311" s="5">
        <v>2.96</v>
      </c>
      <c r="O311" s="5">
        <v>31.75</v>
      </c>
      <c r="P311" s="5">
        <v>4495299.3964799996</v>
      </c>
      <c r="Q311" s="5">
        <v>83246.28512</v>
      </c>
      <c r="R311" s="5">
        <v>50636.02775999999</v>
      </c>
      <c r="S311" s="5">
        <v>36.067999999999998</v>
      </c>
      <c r="T311" s="5">
        <f t="shared" si="28"/>
        <v>1</v>
      </c>
      <c r="U311" s="5">
        <f t="shared" si="29"/>
        <v>1</v>
      </c>
      <c r="V311" s="5">
        <f t="shared" si="30"/>
        <v>1</v>
      </c>
      <c r="W311" s="5">
        <v>54.356000000000002</v>
      </c>
      <c r="X311" s="5">
        <v>0.77800000000000002</v>
      </c>
    </row>
    <row r="312" spans="1:24" x14ac:dyDescent="0.25">
      <c r="A312" s="5" t="s">
        <v>636</v>
      </c>
      <c r="B312" s="5">
        <v>27.084583707999997</v>
      </c>
      <c r="C312" s="5">
        <v>3458.0576000000001</v>
      </c>
      <c r="D312" s="6">
        <v>101.6</v>
      </c>
      <c r="E312" s="6">
        <v>88.899999999999991</v>
      </c>
      <c r="F312" s="5">
        <v>9.5249999999999986</v>
      </c>
      <c r="G312" s="5">
        <f t="shared" si="25"/>
        <v>1</v>
      </c>
      <c r="H312" s="6" t="str">
        <f t="shared" si="26"/>
        <v>LLBB</v>
      </c>
      <c r="I312" s="5">
        <v>30.479999999999997</v>
      </c>
      <c r="J312" s="5">
        <f t="shared" si="27"/>
        <v>0</v>
      </c>
      <c r="K312" s="5">
        <v>0.42699999999999999</v>
      </c>
      <c r="L312" s="5">
        <v>3454720.8324799999</v>
      </c>
      <c r="M312" s="5">
        <v>5.32</v>
      </c>
      <c r="N312" s="5">
        <v>2.96</v>
      </c>
      <c r="O312" s="5">
        <v>31.75</v>
      </c>
      <c r="P312" s="5">
        <v>5369385.3902399996</v>
      </c>
      <c r="Q312" s="5">
        <v>99633.349119999999</v>
      </c>
      <c r="R312" s="5">
        <v>57354.723999999995</v>
      </c>
      <c r="S312" s="5">
        <v>39.369999999999997</v>
      </c>
      <c r="T312" s="5">
        <f t="shared" si="28"/>
        <v>1</v>
      </c>
      <c r="U312" s="5">
        <f t="shared" si="29"/>
        <v>1</v>
      </c>
      <c r="V312" s="5">
        <f t="shared" si="30"/>
        <v>1</v>
      </c>
      <c r="W312" s="5">
        <v>56.641999999999996</v>
      </c>
      <c r="X312" s="5">
        <v>0.79500000000000004</v>
      </c>
    </row>
    <row r="313" spans="1:24" x14ac:dyDescent="0.25">
      <c r="A313" s="5" t="s">
        <v>637</v>
      </c>
      <c r="B313" s="5">
        <v>27.084583707999997</v>
      </c>
      <c r="C313" s="5">
        <v>3458.0576000000001</v>
      </c>
      <c r="D313" s="6">
        <v>101.6</v>
      </c>
      <c r="E313" s="6">
        <v>88.899999999999991</v>
      </c>
      <c r="F313" s="5">
        <v>9.5249999999999986</v>
      </c>
      <c r="G313" s="5">
        <f t="shared" si="25"/>
        <v>1</v>
      </c>
      <c r="H313" s="6" t="str">
        <f t="shared" si="26"/>
        <v>LLBB</v>
      </c>
      <c r="I313" s="5">
        <v>30.479999999999997</v>
      </c>
      <c r="J313" s="5">
        <f t="shared" si="27"/>
        <v>0</v>
      </c>
      <c r="K313" s="5">
        <v>0.42699999999999999</v>
      </c>
      <c r="L313" s="5">
        <v>3454720.8324799999</v>
      </c>
      <c r="M313" s="5">
        <v>5.32</v>
      </c>
      <c r="N313" s="5">
        <v>2.96</v>
      </c>
      <c r="O313" s="5">
        <v>31.75</v>
      </c>
      <c r="P313" s="5">
        <v>6368340.8116799993</v>
      </c>
      <c r="Q313" s="5">
        <v>116184.28375999999</v>
      </c>
      <c r="R313" s="5">
        <v>64728.902799999996</v>
      </c>
      <c r="S313" s="5">
        <v>42.925999999999995</v>
      </c>
      <c r="T313" s="5">
        <f t="shared" si="28"/>
        <v>1</v>
      </c>
      <c r="U313" s="5">
        <f t="shared" si="29"/>
        <v>1</v>
      </c>
      <c r="V313" s="5">
        <f t="shared" si="30"/>
        <v>1</v>
      </c>
      <c r="W313" s="5">
        <v>59.181999999999995</v>
      </c>
      <c r="X313" s="5">
        <v>0.81299999999999994</v>
      </c>
    </row>
    <row r="314" spans="1:24" x14ac:dyDescent="0.25">
      <c r="A314" s="5" t="s">
        <v>638</v>
      </c>
      <c r="B314" s="5">
        <v>22.917724675999999</v>
      </c>
      <c r="C314" s="5">
        <v>2903.22</v>
      </c>
      <c r="D314" s="6">
        <v>101.6</v>
      </c>
      <c r="E314" s="6">
        <v>88.899999999999991</v>
      </c>
      <c r="F314" s="5">
        <v>7.9501999999999997</v>
      </c>
      <c r="G314" s="5">
        <f t="shared" si="25"/>
        <v>1</v>
      </c>
      <c r="H314" s="6" t="str">
        <f t="shared" si="26"/>
        <v>LLBB</v>
      </c>
      <c r="I314" s="5">
        <v>29.717999999999996</v>
      </c>
      <c r="J314" s="5">
        <f t="shared" si="27"/>
        <v>0</v>
      </c>
      <c r="K314" s="5">
        <v>0.4</v>
      </c>
      <c r="L314" s="5">
        <v>2938593.8647359996</v>
      </c>
      <c r="M314" s="5">
        <v>4.4800000000000004</v>
      </c>
      <c r="N314" s="5">
        <v>2.5</v>
      </c>
      <c r="O314" s="5">
        <v>31.75</v>
      </c>
      <c r="P314" s="5">
        <v>3671161.1737919999</v>
      </c>
      <c r="Q314" s="5">
        <v>68006.315600000002</v>
      </c>
      <c r="R314" s="5">
        <v>41295.401279999998</v>
      </c>
      <c r="S314" s="5">
        <v>35.559999999999995</v>
      </c>
      <c r="T314" s="5">
        <f t="shared" si="28"/>
        <v>1</v>
      </c>
      <c r="U314" s="5">
        <f t="shared" si="29"/>
        <v>1</v>
      </c>
      <c r="V314" s="5">
        <f t="shared" si="30"/>
        <v>1</v>
      </c>
      <c r="W314" s="5">
        <v>54.356000000000002</v>
      </c>
      <c r="X314" s="5">
        <v>0.77500000000000002</v>
      </c>
    </row>
    <row r="315" spans="1:24" x14ac:dyDescent="0.25">
      <c r="A315" s="5" t="s">
        <v>639</v>
      </c>
      <c r="B315" s="5">
        <v>22.917724675999999</v>
      </c>
      <c r="C315" s="5">
        <v>2903.22</v>
      </c>
      <c r="D315" s="6">
        <v>101.6</v>
      </c>
      <c r="E315" s="6">
        <v>88.899999999999991</v>
      </c>
      <c r="F315" s="5">
        <v>7.9501999999999997</v>
      </c>
      <c r="G315" s="5">
        <f t="shared" si="25"/>
        <v>1</v>
      </c>
      <c r="H315" s="6" t="str">
        <f t="shared" si="26"/>
        <v>LLBB</v>
      </c>
      <c r="I315" s="5">
        <v>29.717999999999996</v>
      </c>
      <c r="J315" s="5">
        <f t="shared" si="27"/>
        <v>0</v>
      </c>
      <c r="K315" s="5">
        <v>0.4</v>
      </c>
      <c r="L315" s="5">
        <v>2938593.8647359996</v>
      </c>
      <c r="M315" s="5">
        <v>4.4800000000000004</v>
      </c>
      <c r="N315" s="5">
        <v>2.5</v>
      </c>
      <c r="O315" s="5">
        <v>31.75</v>
      </c>
      <c r="P315" s="5">
        <v>4370429.9687999999</v>
      </c>
      <c r="Q315" s="5">
        <v>81935.319999999992</v>
      </c>
      <c r="R315" s="5">
        <v>46703.132399999995</v>
      </c>
      <c r="S315" s="5">
        <v>38.862000000000002</v>
      </c>
      <c r="T315" s="5">
        <f t="shared" si="28"/>
        <v>1</v>
      </c>
      <c r="U315" s="5">
        <f t="shared" si="29"/>
        <v>1</v>
      </c>
      <c r="V315" s="5">
        <f t="shared" si="30"/>
        <v>1</v>
      </c>
      <c r="W315" s="5">
        <v>56.641999999999996</v>
      </c>
      <c r="X315" s="5">
        <v>0.79200000000000004</v>
      </c>
    </row>
    <row r="316" spans="1:24" x14ac:dyDescent="0.25">
      <c r="A316" s="5" t="s">
        <v>640</v>
      </c>
      <c r="B316" s="5">
        <v>22.917724675999999</v>
      </c>
      <c r="C316" s="5">
        <v>2903.22</v>
      </c>
      <c r="D316" s="6">
        <v>101.6</v>
      </c>
      <c r="E316" s="6">
        <v>88.899999999999991</v>
      </c>
      <c r="F316" s="5">
        <v>7.9501999999999997</v>
      </c>
      <c r="G316" s="5">
        <f t="shared" si="25"/>
        <v>1</v>
      </c>
      <c r="H316" s="6" t="str">
        <f t="shared" si="26"/>
        <v>LLBB</v>
      </c>
      <c r="I316" s="5">
        <v>29.717999999999996</v>
      </c>
      <c r="J316" s="5">
        <f t="shared" si="27"/>
        <v>0</v>
      </c>
      <c r="K316" s="5">
        <v>0.4</v>
      </c>
      <c r="L316" s="5">
        <v>2938593.8647359996</v>
      </c>
      <c r="M316" s="5">
        <v>4.4800000000000004</v>
      </c>
      <c r="N316" s="5">
        <v>2.5</v>
      </c>
      <c r="O316" s="5">
        <v>31.75</v>
      </c>
      <c r="P316" s="5">
        <v>5286139.1051199995</v>
      </c>
      <c r="Q316" s="5">
        <v>95700.453759999989</v>
      </c>
      <c r="R316" s="5">
        <v>53749.569919999994</v>
      </c>
      <c r="S316" s="5">
        <v>42.671999999999997</v>
      </c>
      <c r="T316" s="5">
        <f t="shared" si="28"/>
        <v>1</v>
      </c>
      <c r="U316" s="5">
        <f t="shared" si="29"/>
        <v>1</v>
      </c>
      <c r="V316" s="5">
        <f t="shared" si="30"/>
        <v>1</v>
      </c>
      <c r="W316" s="5">
        <v>59.181999999999995</v>
      </c>
      <c r="X316" s="5">
        <v>0.81</v>
      </c>
    </row>
    <row r="317" spans="1:24" x14ac:dyDescent="0.25">
      <c r="A317" s="5" t="s">
        <v>641</v>
      </c>
      <c r="B317" s="5">
        <v>18.453232856</v>
      </c>
      <c r="C317" s="5">
        <v>2348.3824</v>
      </c>
      <c r="D317" s="6">
        <v>101.6</v>
      </c>
      <c r="E317" s="6">
        <v>88.899999999999991</v>
      </c>
      <c r="F317" s="5">
        <v>6.35</v>
      </c>
      <c r="G317" s="5">
        <f t="shared" si="25"/>
        <v>1</v>
      </c>
      <c r="H317" s="6" t="str">
        <f t="shared" si="26"/>
        <v>LLBB</v>
      </c>
      <c r="I317" s="5">
        <v>28.955999999999996</v>
      </c>
      <c r="J317" s="5">
        <f t="shared" si="27"/>
        <v>0</v>
      </c>
      <c r="K317" s="5">
        <v>0.36</v>
      </c>
      <c r="L317" s="5">
        <v>2405817.6399679999</v>
      </c>
      <c r="M317" s="5">
        <v>3.62</v>
      </c>
      <c r="N317" s="5">
        <v>2.02</v>
      </c>
      <c r="O317" s="5">
        <v>32.003999999999998</v>
      </c>
      <c r="P317" s="5">
        <v>2926106.921968</v>
      </c>
      <c r="Q317" s="5">
        <v>53585.699279999993</v>
      </c>
      <c r="R317" s="5">
        <v>32937.998639999991</v>
      </c>
      <c r="S317" s="5">
        <v>35.305999999999997</v>
      </c>
      <c r="T317" s="5">
        <f t="shared" si="28"/>
        <v>1</v>
      </c>
      <c r="U317" s="5">
        <f t="shared" si="29"/>
        <v>1</v>
      </c>
      <c r="V317" s="5">
        <f t="shared" si="30"/>
        <v>1</v>
      </c>
      <c r="W317" s="5">
        <v>54.356000000000002</v>
      </c>
      <c r="X317" s="5">
        <v>0.77300000000000002</v>
      </c>
    </row>
    <row r="318" spans="1:24" x14ac:dyDescent="0.25">
      <c r="A318" s="5" t="s">
        <v>642</v>
      </c>
      <c r="B318" s="5">
        <v>18.453232856</v>
      </c>
      <c r="C318" s="5">
        <v>2348.3824</v>
      </c>
      <c r="D318" s="6">
        <v>101.6</v>
      </c>
      <c r="E318" s="6">
        <v>88.899999999999991</v>
      </c>
      <c r="F318" s="5">
        <v>6.35</v>
      </c>
      <c r="G318" s="5">
        <f t="shared" si="25"/>
        <v>1</v>
      </c>
      <c r="H318" s="6" t="str">
        <f t="shared" si="26"/>
        <v>LLBB</v>
      </c>
      <c r="I318" s="5">
        <v>28.955999999999996</v>
      </c>
      <c r="J318" s="5">
        <f t="shared" si="27"/>
        <v>0</v>
      </c>
      <c r="K318" s="5">
        <v>0.36</v>
      </c>
      <c r="L318" s="5">
        <v>2405817.6399679999</v>
      </c>
      <c r="M318" s="5">
        <v>3.62</v>
      </c>
      <c r="N318" s="5">
        <v>2.02</v>
      </c>
      <c r="O318" s="5">
        <v>32.003999999999998</v>
      </c>
      <c r="P318" s="5">
        <v>3500506.2892959998</v>
      </c>
      <c r="Q318" s="5">
        <v>64728.902799999996</v>
      </c>
      <c r="R318" s="5">
        <v>37362.505919999996</v>
      </c>
      <c r="S318" s="5">
        <v>38.607999999999997</v>
      </c>
      <c r="T318" s="5">
        <f t="shared" si="28"/>
        <v>1</v>
      </c>
      <c r="U318" s="5">
        <f t="shared" si="29"/>
        <v>1</v>
      </c>
      <c r="V318" s="5">
        <f t="shared" si="30"/>
        <v>1</v>
      </c>
      <c r="W318" s="5">
        <v>56.388000000000005</v>
      </c>
      <c r="X318" s="5">
        <v>0.79</v>
      </c>
    </row>
    <row r="319" spans="1:24" x14ac:dyDescent="0.25">
      <c r="A319" s="5" t="s">
        <v>643</v>
      </c>
      <c r="B319" s="5">
        <v>18.453232856</v>
      </c>
      <c r="C319" s="5">
        <v>2348.3824</v>
      </c>
      <c r="D319" s="6">
        <v>101.6</v>
      </c>
      <c r="E319" s="6">
        <v>88.899999999999991</v>
      </c>
      <c r="F319" s="5">
        <v>6.35</v>
      </c>
      <c r="G319" s="5">
        <f t="shared" si="25"/>
        <v>1</v>
      </c>
      <c r="H319" s="6" t="str">
        <f t="shared" si="26"/>
        <v>LLBB</v>
      </c>
      <c r="I319" s="5">
        <v>28.955999999999996</v>
      </c>
      <c r="J319" s="5">
        <f t="shared" si="27"/>
        <v>0</v>
      </c>
      <c r="K319" s="5">
        <v>0.36</v>
      </c>
      <c r="L319" s="5">
        <v>2405817.6399679999</v>
      </c>
      <c r="M319" s="5">
        <v>3.62</v>
      </c>
      <c r="N319" s="5">
        <v>2.02</v>
      </c>
      <c r="O319" s="5">
        <v>32.003999999999998</v>
      </c>
      <c r="P319" s="5">
        <v>4162314.2559999996</v>
      </c>
      <c r="Q319" s="5">
        <v>75872.106319999992</v>
      </c>
      <c r="R319" s="5">
        <v>42278.625119999997</v>
      </c>
      <c r="S319" s="5">
        <v>42.163999999999994</v>
      </c>
      <c r="T319" s="5">
        <f t="shared" si="28"/>
        <v>1</v>
      </c>
      <c r="U319" s="5">
        <f t="shared" si="29"/>
        <v>1</v>
      </c>
      <c r="V319" s="5">
        <f t="shared" si="30"/>
        <v>1</v>
      </c>
      <c r="W319" s="5">
        <v>58.92799999999999</v>
      </c>
      <c r="X319" s="5">
        <v>0.80700000000000005</v>
      </c>
    </row>
    <row r="320" spans="1:24" x14ac:dyDescent="0.25">
      <c r="A320" s="5" t="s">
        <v>644</v>
      </c>
      <c r="B320" s="5">
        <v>40.478059168000001</v>
      </c>
      <c r="C320" s="5">
        <v>5148.3768</v>
      </c>
      <c r="D320" s="6">
        <v>101.6</v>
      </c>
      <c r="E320" s="6">
        <v>76.199999999999989</v>
      </c>
      <c r="F320" s="5">
        <v>15.875</v>
      </c>
      <c r="G320" s="5">
        <f t="shared" si="25"/>
        <v>1</v>
      </c>
      <c r="H320" s="6" t="str">
        <f t="shared" si="26"/>
        <v>LLBB</v>
      </c>
      <c r="I320" s="5">
        <v>34.798000000000002</v>
      </c>
      <c r="J320" s="5">
        <f t="shared" si="27"/>
        <v>0</v>
      </c>
      <c r="K320" s="5">
        <v>0.80800000000000005</v>
      </c>
      <c r="L320" s="5">
        <v>4994777.1071999995</v>
      </c>
      <c r="M320" s="5">
        <v>8.16</v>
      </c>
      <c r="N320" s="5">
        <v>4.5599999999999996</v>
      </c>
      <c r="O320" s="5">
        <v>31.241999999999997</v>
      </c>
      <c r="P320" s="5">
        <v>4869907.6795199988</v>
      </c>
      <c r="Q320" s="5">
        <v>113398.48287999998</v>
      </c>
      <c r="R320" s="5">
        <v>63909.549599999991</v>
      </c>
      <c r="S320" s="5">
        <v>30.733999999999998</v>
      </c>
      <c r="T320" s="5">
        <f t="shared" si="28"/>
        <v>1</v>
      </c>
      <c r="U320" s="5">
        <f t="shared" si="29"/>
        <v>1</v>
      </c>
      <c r="V320" s="5">
        <f t="shared" si="30"/>
        <v>1</v>
      </c>
      <c r="W320" s="5">
        <v>51.308</v>
      </c>
      <c r="X320" s="5">
        <v>0.72799999999999998</v>
      </c>
    </row>
    <row r="321" spans="1:24" x14ac:dyDescent="0.25">
      <c r="A321" s="5" t="s">
        <v>645</v>
      </c>
      <c r="B321" s="5">
        <v>40.478059168000001</v>
      </c>
      <c r="C321" s="5">
        <v>5148.3768</v>
      </c>
      <c r="D321" s="6">
        <v>101.6</v>
      </c>
      <c r="E321" s="6">
        <v>76.199999999999989</v>
      </c>
      <c r="F321" s="5">
        <v>15.875</v>
      </c>
      <c r="G321" s="5">
        <f t="shared" si="25"/>
        <v>1</v>
      </c>
      <c r="H321" s="6" t="str">
        <f t="shared" si="26"/>
        <v>LLBB</v>
      </c>
      <c r="I321" s="5">
        <v>34.798000000000002</v>
      </c>
      <c r="J321" s="5">
        <f t="shared" si="27"/>
        <v>0</v>
      </c>
      <c r="K321" s="5">
        <v>0.80800000000000005</v>
      </c>
      <c r="L321" s="5">
        <v>4994777.1071999995</v>
      </c>
      <c r="M321" s="5">
        <v>8.16</v>
      </c>
      <c r="N321" s="5">
        <v>4.5599999999999996</v>
      </c>
      <c r="O321" s="5">
        <v>31.241999999999997</v>
      </c>
      <c r="P321" s="5">
        <v>6035355.6711999997</v>
      </c>
      <c r="Q321" s="5">
        <v>137815.20823999998</v>
      </c>
      <c r="R321" s="5">
        <v>74561.141199999984</v>
      </c>
      <c r="S321" s="5">
        <v>34.29</v>
      </c>
      <c r="T321" s="5">
        <f t="shared" si="28"/>
        <v>1</v>
      </c>
      <c r="U321" s="5">
        <f t="shared" si="29"/>
        <v>1</v>
      </c>
      <c r="V321" s="5">
        <f t="shared" si="30"/>
        <v>1</v>
      </c>
      <c r="W321" s="5">
        <v>53.593999999999994</v>
      </c>
      <c r="X321" s="5">
        <v>0.75</v>
      </c>
    </row>
    <row r="322" spans="1:24" x14ac:dyDescent="0.25">
      <c r="A322" s="5" t="s">
        <v>646</v>
      </c>
      <c r="B322" s="5">
        <v>40.478059168000001</v>
      </c>
      <c r="C322" s="5">
        <v>5148.3768</v>
      </c>
      <c r="D322" s="6">
        <v>101.6</v>
      </c>
      <c r="E322" s="6">
        <v>76.199999999999989</v>
      </c>
      <c r="F322" s="5">
        <v>15.875</v>
      </c>
      <c r="G322" s="5">
        <f t="shared" si="25"/>
        <v>1</v>
      </c>
      <c r="H322" s="6" t="str">
        <f t="shared" si="26"/>
        <v>LLBB</v>
      </c>
      <c r="I322" s="5">
        <v>34.798000000000002</v>
      </c>
      <c r="J322" s="5">
        <f t="shared" si="27"/>
        <v>0</v>
      </c>
      <c r="K322" s="5">
        <v>0.80800000000000005</v>
      </c>
      <c r="L322" s="5">
        <v>4994777.1071999995</v>
      </c>
      <c r="M322" s="5">
        <v>8.16</v>
      </c>
      <c r="N322" s="5">
        <v>4.5599999999999996</v>
      </c>
      <c r="O322" s="5">
        <v>31.241999999999997</v>
      </c>
      <c r="P322" s="5">
        <v>7492165.6607999988</v>
      </c>
      <c r="Q322" s="5">
        <v>162395.80424</v>
      </c>
      <c r="R322" s="5">
        <v>87343.051119999989</v>
      </c>
      <c r="S322" s="5">
        <v>38.099999999999994</v>
      </c>
      <c r="T322" s="5">
        <f t="shared" si="28"/>
        <v>1</v>
      </c>
      <c r="U322" s="5">
        <f t="shared" si="29"/>
        <v>1</v>
      </c>
      <c r="V322" s="5">
        <f t="shared" si="30"/>
        <v>1</v>
      </c>
      <c r="W322" s="5">
        <v>56.133999999999993</v>
      </c>
      <c r="X322" s="5">
        <v>0.77300000000000002</v>
      </c>
    </row>
    <row r="323" spans="1:24" x14ac:dyDescent="0.25">
      <c r="A323" s="5" t="s">
        <v>647</v>
      </c>
      <c r="B323" s="5">
        <v>33.037239467999996</v>
      </c>
      <c r="C323" s="5">
        <v>4193.54</v>
      </c>
      <c r="D323" s="6">
        <v>101.6</v>
      </c>
      <c r="E323" s="6">
        <v>76.199999999999989</v>
      </c>
      <c r="F323" s="5">
        <v>12.7</v>
      </c>
      <c r="G323" s="5">
        <f t="shared" si="25"/>
        <v>1</v>
      </c>
      <c r="H323" s="6" t="str">
        <f t="shared" si="26"/>
        <v>LLBB</v>
      </c>
      <c r="I323" s="5">
        <v>33.527999999999999</v>
      </c>
      <c r="J323" s="5">
        <f t="shared" si="27"/>
        <v>0</v>
      </c>
      <c r="K323" s="5">
        <v>0.75</v>
      </c>
      <c r="L323" s="5">
        <v>4162314.2559999996</v>
      </c>
      <c r="M323" s="5">
        <v>6.72</v>
      </c>
      <c r="N323" s="5">
        <v>3.74</v>
      </c>
      <c r="O323" s="5">
        <v>31.495999999999999</v>
      </c>
      <c r="P323" s="5">
        <v>3829329.1155199995</v>
      </c>
      <c r="Q323" s="5">
        <v>87506.921759999983</v>
      </c>
      <c r="R323" s="5">
        <v>50308.286479999995</v>
      </c>
      <c r="S323" s="5">
        <v>30.225999999999996</v>
      </c>
      <c r="T323" s="5">
        <f t="shared" si="28"/>
        <v>1</v>
      </c>
      <c r="U323" s="5">
        <f t="shared" si="29"/>
        <v>1</v>
      </c>
      <c r="V323" s="5">
        <f t="shared" si="30"/>
        <v>1</v>
      </c>
      <c r="W323" s="5">
        <v>51.308</v>
      </c>
      <c r="X323" s="5">
        <v>0.72099999999999997</v>
      </c>
    </row>
    <row r="324" spans="1:24" x14ac:dyDescent="0.25">
      <c r="A324" s="5" t="s">
        <v>648</v>
      </c>
      <c r="B324" s="5">
        <v>33.037239467999996</v>
      </c>
      <c r="C324" s="5">
        <v>4193.54</v>
      </c>
      <c r="D324" s="6">
        <v>101.6</v>
      </c>
      <c r="E324" s="6">
        <v>76.199999999999989</v>
      </c>
      <c r="F324" s="5">
        <v>12.7</v>
      </c>
      <c r="G324" s="5">
        <f t="shared" ref="G324:G387" si="31">G323</f>
        <v>1</v>
      </c>
      <c r="H324" s="6" t="str">
        <f t="shared" ref="H324:H387" si="32">H323</f>
        <v>LLBB</v>
      </c>
      <c r="I324" s="5">
        <v>33.527999999999999</v>
      </c>
      <c r="J324" s="5">
        <f t="shared" ref="J324:J387" si="33">J323</f>
        <v>0</v>
      </c>
      <c r="K324" s="5">
        <v>0.75</v>
      </c>
      <c r="L324" s="5">
        <v>4162314.2559999996</v>
      </c>
      <c r="M324" s="5">
        <v>6.72</v>
      </c>
      <c r="N324" s="5">
        <v>3.74</v>
      </c>
      <c r="O324" s="5">
        <v>31.495999999999999</v>
      </c>
      <c r="P324" s="5">
        <v>4703415.1092799995</v>
      </c>
      <c r="Q324" s="5">
        <v>107499.13983999999</v>
      </c>
      <c r="R324" s="5">
        <v>58174.077199999992</v>
      </c>
      <c r="S324" s="5">
        <v>33.527999999999999</v>
      </c>
      <c r="T324" s="5">
        <f t="shared" ref="T324:T387" si="34">T323</f>
        <v>1</v>
      </c>
      <c r="U324" s="5">
        <f t="shared" ref="U324:U387" si="35">U323</f>
        <v>1</v>
      </c>
      <c r="V324" s="5">
        <f t="shared" ref="V324:V387" si="36">V323</f>
        <v>1</v>
      </c>
      <c r="W324" s="5">
        <v>53.593999999999994</v>
      </c>
      <c r="X324" s="5">
        <v>0.74299999999999999</v>
      </c>
    </row>
    <row r="325" spans="1:24" x14ac:dyDescent="0.25">
      <c r="A325" s="5" t="s">
        <v>649</v>
      </c>
      <c r="B325" s="5">
        <v>33.037239467999996</v>
      </c>
      <c r="C325" s="5">
        <v>4193.54</v>
      </c>
      <c r="D325" s="6">
        <v>101.6</v>
      </c>
      <c r="E325" s="6">
        <v>76.199999999999989</v>
      </c>
      <c r="F325" s="5">
        <v>12.7</v>
      </c>
      <c r="G325" s="5">
        <f t="shared" si="31"/>
        <v>1</v>
      </c>
      <c r="H325" s="6" t="str">
        <f t="shared" si="32"/>
        <v>LLBB</v>
      </c>
      <c r="I325" s="5">
        <v>33.527999999999999</v>
      </c>
      <c r="J325" s="5">
        <f t="shared" si="33"/>
        <v>0</v>
      </c>
      <c r="K325" s="5">
        <v>0.75</v>
      </c>
      <c r="L325" s="5">
        <v>4162314.2559999996</v>
      </c>
      <c r="M325" s="5">
        <v>6.72</v>
      </c>
      <c r="N325" s="5">
        <v>3.74</v>
      </c>
      <c r="O325" s="5">
        <v>31.495999999999999</v>
      </c>
      <c r="P325" s="5">
        <v>5827239.9583999999</v>
      </c>
      <c r="Q325" s="5">
        <v>127491.35791999999</v>
      </c>
      <c r="R325" s="5">
        <v>68006.315600000002</v>
      </c>
      <c r="S325" s="5">
        <v>37.337999999999994</v>
      </c>
      <c r="T325" s="5">
        <f t="shared" si="34"/>
        <v>1</v>
      </c>
      <c r="U325" s="5">
        <f t="shared" si="35"/>
        <v>1</v>
      </c>
      <c r="V325" s="5">
        <f t="shared" si="36"/>
        <v>1</v>
      </c>
      <c r="W325" s="5">
        <v>55.88</v>
      </c>
      <c r="X325" s="5">
        <v>0.76500000000000001</v>
      </c>
    </row>
    <row r="326" spans="1:24" x14ac:dyDescent="0.25">
      <c r="A326" s="5" t="s">
        <v>650</v>
      </c>
      <c r="B326" s="5">
        <v>25.298786979999999</v>
      </c>
      <c r="C326" s="5">
        <v>3212.8968</v>
      </c>
      <c r="D326" s="6">
        <v>101.6</v>
      </c>
      <c r="E326" s="6">
        <v>76.199999999999989</v>
      </c>
      <c r="F326" s="5">
        <v>9.5249999999999986</v>
      </c>
      <c r="G326" s="5">
        <f t="shared" si="31"/>
        <v>1</v>
      </c>
      <c r="H326" s="6" t="str">
        <f t="shared" si="32"/>
        <v>LLBB</v>
      </c>
      <c r="I326" s="5">
        <v>32.257999999999996</v>
      </c>
      <c r="J326" s="5">
        <f t="shared" si="33"/>
        <v>0</v>
      </c>
      <c r="K326" s="5">
        <v>0.68</v>
      </c>
      <c r="L326" s="5">
        <v>3279903.6337279994</v>
      </c>
      <c r="M326" s="5">
        <v>5.2</v>
      </c>
      <c r="N326" s="5">
        <v>2.88</v>
      </c>
      <c r="O326" s="5">
        <v>32.003999999999998</v>
      </c>
      <c r="P326" s="5">
        <v>2838698.322592</v>
      </c>
      <c r="Q326" s="5">
        <v>63254.067039999994</v>
      </c>
      <c r="R326" s="5">
        <v>37198.635279999995</v>
      </c>
      <c r="S326" s="5">
        <v>29.717999999999996</v>
      </c>
      <c r="T326" s="5">
        <f t="shared" si="34"/>
        <v>1</v>
      </c>
      <c r="U326" s="5">
        <f t="shared" si="35"/>
        <v>1</v>
      </c>
      <c r="V326" s="5">
        <f t="shared" si="36"/>
        <v>1</v>
      </c>
      <c r="W326" s="5">
        <v>51.561999999999991</v>
      </c>
      <c r="X326" s="5">
        <v>0.71499999999999997</v>
      </c>
    </row>
    <row r="327" spans="1:24" x14ac:dyDescent="0.25">
      <c r="A327" s="5" t="s">
        <v>651</v>
      </c>
      <c r="B327" s="5">
        <v>25.298786979999999</v>
      </c>
      <c r="C327" s="5">
        <v>3212.8968</v>
      </c>
      <c r="D327" s="6">
        <v>101.6</v>
      </c>
      <c r="E327" s="6">
        <v>76.199999999999989</v>
      </c>
      <c r="F327" s="5">
        <v>9.5249999999999986</v>
      </c>
      <c r="G327" s="5">
        <f t="shared" si="31"/>
        <v>1</v>
      </c>
      <c r="H327" s="6" t="str">
        <f t="shared" si="32"/>
        <v>LLBB</v>
      </c>
      <c r="I327" s="5">
        <v>32.257999999999996</v>
      </c>
      <c r="J327" s="5">
        <f t="shared" si="33"/>
        <v>0</v>
      </c>
      <c r="K327" s="5">
        <v>0.68</v>
      </c>
      <c r="L327" s="5">
        <v>3279903.6337279994</v>
      </c>
      <c r="M327" s="5">
        <v>5.2</v>
      </c>
      <c r="N327" s="5">
        <v>2.88</v>
      </c>
      <c r="O327" s="5">
        <v>32.003999999999998</v>
      </c>
      <c r="P327" s="5">
        <v>3504668.6035519997</v>
      </c>
      <c r="Q327" s="5">
        <v>78494.036559999993</v>
      </c>
      <c r="R327" s="5">
        <v>43261.848959999996</v>
      </c>
      <c r="S327" s="5">
        <v>33.019999999999996</v>
      </c>
      <c r="T327" s="5">
        <f t="shared" si="34"/>
        <v>1</v>
      </c>
      <c r="U327" s="5">
        <f t="shared" si="35"/>
        <v>1</v>
      </c>
      <c r="V327" s="5">
        <f t="shared" si="36"/>
        <v>1</v>
      </c>
      <c r="W327" s="5">
        <v>53.593999999999994</v>
      </c>
      <c r="X327" s="5">
        <v>0.73599999999999999</v>
      </c>
    </row>
    <row r="328" spans="1:24" x14ac:dyDescent="0.25">
      <c r="A328" s="5" t="s">
        <v>652</v>
      </c>
      <c r="B328" s="5">
        <v>25.298786979999999</v>
      </c>
      <c r="C328" s="5">
        <v>3212.8968</v>
      </c>
      <c r="D328" s="6">
        <v>101.6</v>
      </c>
      <c r="E328" s="6">
        <v>76.199999999999989</v>
      </c>
      <c r="F328" s="5">
        <v>9.5249999999999986</v>
      </c>
      <c r="G328" s="5">
        <f t="shared" si="31"/>
        <v>1</v>
      </c>
      <c r="H328" s="6" t="str">
        <f t="shared" si="32"/>
        <v>LLBB</v>
      </c>
      <c r="I328" s="5">
        <v>32.257999999999996</v>
      </c>
      <c r="J328" s="5">
        <f t="shared" si="33"/>
        <v>0</v>
      </c>
      <c r="K328" s="5">
        <v>0.68</v>
      </c>
      <c r="L328" s="5">
        <v>3279903.6337279994</v>
      </c>
      <c r="M328" s="5">
        <v>5.2</v>
      </c>
      <c r="N328" s="5">
        <v>2.88</v>
      </c>
      <c r="O328" s="5">
        <v>32.003999999999998</v>
      </c>
      <c r="P328" s="5">
        <v>4287183.6836799998</v>
      </c>
      <c r="Q328" s="5">
        <v>93897.87672</v>
      </c>
      <c r="R328" s="5">
        <v>49980.545199999993</v>
      </c>
      <c r="S328" s="5">
        <v>36.575999999999993</v>
      </c>
      <c r="T328" s="5">
        <f t="shared" si="34"/>
        <v>1</v>
      </c>
      <c r="U328" s="5">
        <f t="shared" si="35"/>
        <v>1</v>
      </c>
      <c r="V328" s="5">
        <f t="shared" si="36"/>
        <v>1</v>
      </c>
      <c r="W328" s="5">
        <v>55.88</v>
      </c>
      <c r="X328" s="5">
        <v>0.75700000000000001</v>
      </c>
    </row>
    <row r="329" spans="1:24" x14ac:dyDescent="0.25">
      <c r="A329" s="5" t="s">
        <v>653</v>
      </c>
      <c r="B329" s="5">
        <v>21.429560735999999</v>
      </c>
      <c r="C329" s="5">
        <v>2696.7687999999998</v>
      </c>
      <c r="D329" s="6">
        <v>101.6</v>
      </c>
      <c r="E329" s="6">
        <v>76.199999999999989</v>
      </c>
      <c r="F329" s="5">
        <v>7.9501999999999997</v>
      </c>
      <c r="G329" s="5">
        <f t="shared" si="31"/>
        <v>1</v>
      </c>
      <c r="H329" s="6" t="str">
        <f t="shared" si="32"/>
        <v>LLBB</v>
      </c>
      <c r="I329" s="5">
        <v>31.75</v>
      </c>
      <c r="J329" s="5">
        <f t="shared" si="33"/>
        <v>0</v>
      </c>
      <c r="K329" s="5">
        <v>0.65600000000000003</v>
      </c>
      <c r="L329" s="5">
        <v>2797075.1800319995</v>
      </c>
      <c r="M329" s="5">
        <v>4.38</v>
      </c>
      <c r="N329" s="5">
        <v>2.44</v>
      </c>
      <c r="O329" s="5">
        <v>32.257999999999996</v>
      </c>
      <c r="P329" s="5">
        <v>2339220.6118719997</v>
      </c>
      <c r="Q329" s="5">
        <v>51455.380959999995</v>
      </c>
      <c r="R329" s="5">
        <v>30643.809679999998</v>
      </c>
      <c r="S329" s="5">
        <v>29.463999999999995</v>
      </c>
      <c r="T329" s="5">
        <f t="shared" si="34"/>
        <v>1</v>
      </c>
      <c r="U329" s="5">
        <f t="shared" si="35"/>
        <v>1</v>
      </c>
      <c r="V329" s="5">
        <f t="shared" si="36"/>
        <v>1</v>
      </c>
      <c r="W329" s="5">
        <v>51.561999999999991</v>
      </c>
      <c r="X329" s="5">
        <v>0.71199999999999997</v>
      </c>
    </row>
    <row r="330" spans="1:24" x14ac:dyDescent="0.25">
      <c r="A330" s="5" t="s">
        <v>654</v>
      </c>
      <c r="B330" s="5">
        <v>21.429560735999999</v>
      </c>
      <c r="C330" s="5">
        <v>2696.7687999999998</v>
      </c>
      <c r="D330" s="6">
        <v>101.6</v>
      </c>
      <c r="E330" s="6">
        <v>76.199999999999989</v>
      </c>
      <c r="F330" s="5">
        <v>7.9501999999999997</v>
      </c>
      <c r="G330" s="5">
        <f t="shared" si="31"/>
        <v>1</v>
      </c>
      <c r="H330" s="6" t="str">
        <f t="shared" si="32"/>
        <v>LLBB</v>
      </c>
      <c r="I330" s="5">
        <v>31.75</v>
      </c>
      <c r="J330" s="5">
        <f t="shared" si="33"/>
        <v>0</v>
      </c>
      <c r="K330" s="5">
        <v>0.65600000000000003</v>
      </c>
      <c r="L330" s="5">
        <v>2797075.1800319995</v>
      </c>
      <c r="M330" s="5">
        <v>4.38</v>
      </c>
      <c r="N330" s="5">
        <v>2.44</v>
      </c>
      <c r="O330" s="5">
        <v>32.257999999999996</v>
      </c>
      <c r="P330" s="5">
        <v>2896970.7221759995</v>
      </c>
      <c r="Q330" s="5">
        <v>64237.290879999993</v>
      </c>
      <c r="R330" s="5">
        <v>35723.79952</v>
      </c>
      <c r="S330" s="5">
        <v>32.765999999999998</v>
      </c>
      <c r="T330" s="5">
        <f t="shared" si="34"/>
        <v>1</v>
      </c>
      <c r="U330" s="5">
        <f t="shared" si="35"/>
        <v>1</v>
      </c>
      <c r="V330" s="5">
        <f t="shared" si="36"/>
        <v>1</v>
      </c>
      <c r="W330" s="5">
        <v>53.593999999999994</v>
      </c>
      <c r="X330" s="5">
        <v>0.73299999999999998</v>
      </c>
    </row>
    <row r="331" spans="1:24" x14ac:dyDescent="0.25">
      <c r="A331" s="5" t="s">
        <v>655</v>
      </c>
      <c r="B331" s="5">
        <v>21.429560735999999</v>
      </c>
      <c r="C331" s="5">
        <v>2696.7687999999998</v>
      </c>
      <c r="D331" s="6">
        <v>101.6</v>
      </c>
      <c r="E331" s="6">
        <v>76.199999999999989</v>
      </c>
      <c r="F331" s="5">
        <v>7.9501999999999997</v>
      </c>
      <c r="G331" s="5">
        <f t="shared" si="31"/>
        <v>1</v>
      </c>
      <c r="H331" s="6" t="str">
        <f t="shared" si="32"/>
        <v>LLBB</v>
      </c>
      <c r="I331" s="5">
        <v>31.75</v>
      </c>
      <c r="J331" s="5">
        <f t="shared" si="33"/>
        <v>0</v>
      </c>
      <c r="K331" s="5">
        <v>0.65600000000000003</v>
      </c>
      <c r="L331" s="5">
        <v>2797075.1800319995</v>
      </c>
      <c r="M331" s="5">
        <v>4.38</v>
      </c>
      <c r="N331" s="5">
        <v>2.44</v>
      </c>
      <c r="O331" s="5">
        <v>32.257999999999996</v>
      </c>
      <c r="P331" s="5">
        <v>3558778.6888799998</v>
      </c>
      <c r="Q331" s="5">
        <v>77019.200799999991</v>
      </c>
      <c r="R331" s="5">
        <v>41459.271919999992</v>
      </c>
      <c r="S331" s="5">
        <v>36.321999999999996</v>
      </c>
      <c r="T331" s="5">
        <f t="shared" si="34"/>
        <v>1</v>
      </c>
      <c r="U331" s="5">
        <f t="shared" si="35"/>
        <v>1</v>
      </c>
      <c r="V331" s="5">
        <f t="shared" si="36"/>
        <v>1</v>
      </c>
      <c r="W331" s="5">
        <v>55.88</v>
      </c>
      <c r="X331" s="5">
        <v>0.754</v>
      </c>
    </row>
    <row r="332" spans="1:24" x14ac:dyDescent="0.25">
      <c r="A332" s="5" t="s">
        <v>656</v>
      </c>
      <c r="B332" s="5">
        <v>17.262701703999998</v>
      </c>
      <c r="C332" s="5">
        <v>2180.6407999999997</v>
      </c>
      <c r="D332" s="6">
        <v>101.6</v>
      </c>
      <c r="E332" s="6">
        <v>76.199999999999989</v>
      </c>
      <c r="F332" s="5">
        <v>6.35</v>
      </c>
      <c r="G332" s="5">
        <f t="shared" si="31"/>
        <v>1</v>
      </c>
      <c r="H332" s="6" t="str">
        <f t="shared" si="32"/>
        <v>LLBB</v>
      </c>
      <c r="I332" s="5">
        <v>30.987999999999996</v>
      </c>
      <c r="J332" s="5">
        <f t="shared" si="33"/>
        <v>0</v>
      </c>
      <c r="K332" s="5">
        <v>0.62</v>
      </c>
      <c r="L332" s="5">
        <v>2289272.8407999999</v>
      </c>
      <c r="M332" s="5">
        <v>3.54</v>
      </c>
      <c r="N332" s="5">
        <v>1.98</v>
      </c>
      <c r="O332" s="5">
        <v>32.257999999999996</v>
      </c>
      <c r="P332" s="5">
        <v>1860554.4724319996</v>
      </c>
      <c r="Q332" s="5">
        <v>40148.306799999998</v>
      </c>
      <c r="R332" s="5">
        <v>24416.725359999997</v>
      </c>
      <c r="S332" s="5">
        <v>29.209999999999997</v>
      </c>
      <c r="T332" s="5">
        <f t="shared" si="34"/>
        <v>1</v>
      </c>
      <c r="U332" s="5">
        <f t="shared" si="35"/>
        <v>1</v>
      </c>
      <c r="V332" s="5">
        <f t="shared" si="36"/>
        <v>1</v>
      </c>
      <c r="W332" s="5">
        <v>51.561999999999991</v>
      </c>
      <c r="X332" s="5">
        <v>0.71</v>
      </c>
    </row>
    <row r="333" spans="1:24" x14ac:dyDescent="0.25">
      <c r="A333" s="5" t="s">
        <v>657</v>
      </c>
      <c r="B333" s="5">
        <v>17.262701703999998</v>
      </c>
      <c r="C333" s="5">
        <v>2180.6407999999997</v>
      </c>
      <c r="D333" s="6">
        <v>101.6</v>
      </c>
      <c r="E333" s="6">
        <v>76.199999999999989</v>
      </c>
      <c r="F333" s="5">
        <v>6.35</v>
      </c>
      <c r="G333" s="5">
        <f t="shared" si="31"/>
        <v>1</v>
      </c>
      <c r="H333" s="6" t="str">
        <f t="shared" si="32"/>
        <v>LLBB</v>
      </c>
      <c r="I333" s="5">
        <v>30.987999999999996</v>
      </c>
      <c r="J333" s="5">
        <f t="shared" si="33"/>
        <v>0</v>
      </c>
      <c r="K333" s="5">
        <v>0.62</v>
      </c>
      <c r="L333" s="5">
        <v>2289272.8407999999</v>
      </c>
      <c r="M333" s="5">
        <v>3.54</v>
      </c>
      <c r="N333" s="5">
        <v>1.98</v>
      </c>
      <c r="O333" s="5">
        <v>32.257999999999996</v>
      </c>
      <c r="P333" s="5">
        <v>2268461.2695199996</v>
      </c>
      <c r="Q333" s="5">
        <v>50472.157119999996</v>
      </c>
      <c r="R333" s="5">
        <v>28021.879439999997</v>
      </c>
      <c r="S333" s="5">
        <v>32.257999999999996</v>
      </c>
      <c r="T333" s="5">
        <f t="shared" si="34"/>
        <v>1</v>
      </c>
      <c r="U333" s="5">
        <f t="shared" si="35"/>
        <v>1</v>
      </c>
      <c r="V333" s="5">
        <f t="shared" si="36"/>
        <v>1</v>
      </c>
      <c r="W333" s="5">
        <v>53.593999999999994</v>
      </c>
      <c r="X333" s="5">
        <v>0.73</v>
      </c>
    </row>
    <row r="334" spans="1:24" x14ac:dyDescent="0.25">
      <c r="A334" s="5" t="s">
        <v>658</v>
      </c>
      <c r="B334" s="5">
        <v>17.262701703999998</v>
      </c>
      <c r="C334" s="5">
        <v>2180.6407999999997</v>
      </c>
      <c r="D334" s="6">
        <v>101.6</v>
      </c>
      <c r="E334" s="6">
        <v>76.199999999999989</v>
      </c>
      <c r="F334" s="5">
        <v>6.35</v>
      </c>
      <c r="G334" s="5">
        <f t="shared" si="31"/>
        <v>1</v>
      </c>
      <c r="H334" s="6" t="str">
        <f t="shared" si="32"/>
        <v>LLBB</v>
      </c>
      <c r="I334" s="5">
        <v>30.987999999999996</v>
      </c>
      <c r="J334" s="5">
        <f t="shared" si="33"/>
        <v>0</v>
      </c>
      <c r="K334" s="5">
        <v>0.62</v>
      </c>
      <c r="L334" s="5">
        <v>2289272.8407999999</v>
      </c>
      <c r="M334" s="5">
        <v>3.54</v>
      </c>
      <c r="N334" s="5">
        <v>1.98</v>
      </c>
      <c r="O334" s="5">
        <v>32.257999999999996</v>
      </c>
      <c r="P334" s="5">
        <v>2797075.1800319995</v>
      </c>
      <c r="Q334" s="5">
        <v>60959.878079999995</v>
      </c>
      <c r="R334" s="5">
        <v>32610.257359999996</v>
      </c>
      <c r="S334" s="5">
        <v>35.813999999999993</v>
      </c>
      <c r="T334" s="5">
        <f t="shared" si="34"/>
        <v>1</v>
      </c>
      <c r="U334" s="5">
        <f t="shared" si="35"/>
        <v>1</v>
      </c>
      <c r="V334" s="5">
        <f t="shared" si="36"/>
        <v>1</v>
      </c>
      <c r="W334" s="5">
        <v>55.88</v>
      </c>
      <c r="X334" s="5">
        <v>0.751</v>
      </c>
    </row>
    <row r="335" spans="1:24" x14ac:dyDescent="0.25">
      <c r="A335" s="5" t="s">
        <v>659</v>
      </c>
      <c r="B335" s="5">
        <v>30.358544375999998</v>
      </c>
      <c r="C335" s="5">
        <v>3896.7664</v>
      </c>
      <c r="D335" s="6">
        <v>88.899999999999991</v>
      </c>
      <c r="E335" s="6">
        <v>76.199999999999989</v>
      </c>
      <c r="F335" s="5">
        <v>12.7</v>
      </c>
      <c r="G335" s="5">
        <f t="shared" si="31"/>
        <v>1</v>
      </c>
      <c r="H335" s="6" t="str">
        <f t="shared" si="32"/>
        <v>LLBB</v>
      </c>
      <c r="I335" s="5">
        <v>28.448</v>
      </c>
      <c r="J335" s="5">
        <f t="shared" si="33"/>
        <v>0</v>
      </c>
      <c r="K335" s="5">
        <v>0.48</v>
      </c>
      <c r="L335" s="5">
        <v>2871996.8366399999</v>
      </c>
      <c r="M335" s="5">
        <v>5.22</v>
      </c>
      <c r="N335" s="5">
        <v>2.9</v>
      </c>
      <c r="O335" s="5">
        <v>27.178000000000001</v>
      </c>
      <c r="P335" s="5">
        <v>3804355.2299839999</v>
      </c>
      <c r="Q335" s="5">
        <v>86032.085999999996</v>
      </c>
      <c r="R335" s="5">
        <v>49980.545199999993</v>
      </c>
      <c r="S335" s="5">
        <v>31.241999999999997</v>
      </c>
      <c r="T335" s="5">
        <f t="shared" si="34"/>
        <v>1</v>
      </c>
      <c r="U335" s="5">
        <f t="shared" si="35"/>
        <v>1</v>
      </c>
      <c r="V335" s="5">
        <f t="shared" si="36"/>
        <v>1</v>
      </c>
      <c r="W335" s="5">
        <v>46.99</v>
      </c>
      <c r="X335" s="5">
        <v>0.78</v>
      </c>
    </row>
    <row r="336" spans="1:24" x14ac:dyDescent="0.25">
      <c r="A336" s="5" t="s">
        <v>660</v>
      </c>
      <c r="B336" s="5">
        <v>30.358544375999998</v>
      </c>
      <c r="C336" s="5">
        <v>3896.7664</v>
      </c>
      <c r="D336" s="6">
        <v>88.899999999999991</v>
      </c>
      <c r="E336" s="6">
        <v>76.199999999999989</v>
      </c>
      <c r="F336" s="5">
        <v>12.7</v>
      </c>
      <c r="G336" s="5">
        <f t="shared" si="31"/>
        <v>1</v>
      </c>
      <c r="H336" s="6" t="str">
        <f t="shared" si="32"/>
        <v>LLBB</v>
      </c>
      <c r="I336" s="5">
        <v>28.448</v>
      </c>
      <c r="J336" s="5">
        <f t="shared" si="33"/>
        <v>0</v>
      </c>
      <c r="K336" s="5">
        <v>0.48</v>
      </c>
      <c r="L336" s="5">
        <v>2871996.8366399999</v>
      </c>
      <c r="M336" s="5">
        <v>5.22</v>
      </c>
      <c r="N336" s="5">
        <v>2.9</v>
      </c>
      <c r="O336" s="5">
        <v>27.178000000000001</v>
      </c>
      <c r="P336" s="5">
        <v>4703415.1092799995</v>
      </c>
      <c r="Q336" s="5">
        <v>104549.46831999999</v>
      </c>
      <c r="R336" s="5">
        <v>58174.077199999992</v>
      </c>
      <c r="S336" s="5">
        <v>34.798000000000002</v>
      </c>
      <c r="T336" s="5">
        <f t="shared" si="34"/>
        <v>1</v>
      </c>
      <c r="U336" s="5">
        <f t="shared" si="35"/>
        <v>1</v>
      </c>
      <c r="V336" s="5">
        <f t="shared" si="36"/>
        <v>1</v>
      </c>
      <c r="W336" s="5">
        <v>49.275999999999996</v>
      </c>
      <c r="X336" s="5">
        <v>0.80100000000000005</v>
      </c>
    </row>
    <row r="337" spans="1:24" x14ac:dyDescent="0.25">
      <c r="A337" s="5" t="s">
        <v>661</v>
      </c>
      <c r="B337" s="5">
        <v>30.358544375999998</v>
      </c>
      <c r="C337" s="5">
        <v>3896.7664</v>
      </c>
      <c r="D337" s="6">
        <v>88.899999999999991</v>
      </c>
      <c r="E337" s="6">
        <v>76.199999999999989</v>
      </c>
      <c r="F337" s="5">
        <v>12.7</v>
      </c>
      <c r="G337" s="5">
        <f t="shared" si="31"/>
        <v>1</v>
      </c>
      <c r="H337" s="6" t="str">
        <f t="shared" si="32"/>
        <v>LLBB</v>
      </c>
      <c r="I337" s="5">
        <v>28.448</v>
      </c>
      <c r="J337" s="5">
        <f t="shared" si="33"/>
        <v>0</v>
      </c>
      <c r="K337" s="5">
        <v>0.48</v>
      </c>
      <c r="L337" s="5">
        <v>2871996.8366399999</v>
      </c>
      <c r="M337" s="5">
        <v>5.22</v>
      </c>
      <c r="N337" s="5">
        <v>2.9</v>
      </c>
      <c r="O337" s="5">
        <v>27.178000000000001</v>
      </c>
      <c r="P337" s="5">
        <v>5827239.9583999999</v>
      </c>
      <c r="Q337" s="5">
        <v>123066.85063999999</v>
      </c>
      <c r="R337" s="5">
        <v>68006.315600000002</v>
      </c>
      <c r="S337" s="5">
        <v>38.607999999999997</v>
      </c>
      <c r="T337" s="5">
        <f t="shared" si="34"/>
        <v>1</v>
      </c>
      <c r="U337" s="5">
        <f t="shared" si="35"/>
        <v>1</v>
      </c>
      <c r="V337" s="5">
        <f t="shared" si="36"/>
        <v>1</v>
      </c>
      <c r="W337" s="5">
        <v>52.069999999999993</v>
      </c>
      <c r="X337" s="5">
        <v>0.82199999999999995</v>
      </c>
    </row>
    <row r="338" spans="1:24" x14ac:dyDescent="0.25">
      <c r="A338" s="5" t="s">
        <v>662</v>
      </c>
      <c r="B338" s="5">
        <v>27.084583707999997</v>
      </c>
      <c r="C338" s="5">
        <v>3445.1543999999999</v>
      </c>
      <c r="D338" s="6">
        <v>88.899999999999991</v>
      </c>
      <c r="E338" s="6">
        <v>76.199999999999989</v>
      </c>
      <c r="F338" s="5">
        <v>11.1252</v>
      </c>
      <c r="G338" s="5">
        <f t="shared" si="31"/>
        <v>1</v>
      </c>
      <c r="H338" s="6" t="str">
        <f t="shared" si="32"/>
        <v>LLBB</v>
      </c>
      <c r="I338" s="5">
        <v>27.686</v>
      </c>
      <c r="J338" s="5">
        <f t="shared" si="33"/>
        <v>0</v>
      </c>
      <c r="K338" s="5">
        <v>0.44900000000000001</v>
      </c>
      <c r="L338" s="5">
        <v>2580634.8387199999</v>
      </c>
      <c r="M338" s="5">
        <v>4.6399999999999997</v>
      </c>
      <c r="N338" s="5">
        <v>2.58</v>
      </c>
      <c r="O338" s="5">
        <v>27.431999999999999</v>
      </c>
      <c r="P338" s="5">
        <v>3309039.8335199999</v>
      </c>
      <c r="Q338" s="5">
        <v>74069.529279999988</v>
      </c>
      <c r="R338" s="5">
        <v>43425.719599999997</v>
      </c>
      <c r="S338" s="5">
        <v>30.987999999999996</v>
      </c>
      <c r="T338" s="5">
        <f t="shared" si="34"/>
        <v>1</v>
      </c>
      <c r="U338" s="5">
        <f t="shared" si="35"/>
        <v>1</v>
      </c>
      <c r="V338" s="5">
        <f t="shared" si="36"/>
        <v>1</v>
      </c>
      <c r="W338" s="5">
        <v>46.99</v>
      </c>
      <c r="X338" s="5">
        <v>0.77600000000000002</v>
      </c>
    </row>
    <row r="339" spans="1:24" x14ac:dyDescent="0.25">
      <c r="A339" s="5" t="s">
        <v>663</v>
      </c>
      <c r="B339" s="5">
        <v>27.084583707999997</v>
      </c>
      <c r="C339" s="5">
        <v>3445.1543999999999</v>
      </c>
      <c r="D339" s="6">
        <v>88.899999999999991</v>
      </c>
      <c r="E339" s="6">
        <v>76.199999999999989</v>
      </c>
      <c r="F339" s="5">
        <v>11.1252</v>
      </c>
      <c r="G339" s="5">
        <f t="shared" si="31"/>
        <v>1</v>
      </c>
      <c r="H339" s="6" t="str">
        <f t="shared" si="32"/>
        <v>LLBB</v>
      </c>
      <c r="I339" s="5">
        <v>27.686</v>
      </c>
      <c r="J339" s="5">
        <f t="shared" si="33"/>
        <v>0</v>
      </c>
      <c r="K339" s="5">
        <v>0.44900000000000001</v>
      </c>
      <c r="L339" s="5">
        <v>2580634.8387199999</v>
      </c>
      <c r="M339" s="5">
        <v>4.6399999999999997</v>
      </c>
      <c r="N339" s="5">
        <v>2.58</v>
      </c>
      <c r="O339" s="5">
        <v>27.431999999999999</v>
      </c>
      <c r="P339" s="5">
        <v>4112366.4849279998</v>
      </c>
      <c r="Q339" s="5">
        <v>90456.593279999986</v>
      </c>
      <c r="R339" s="5">
        <v>50799.898399999998</v>
      </c>
      <c r="S339" s="5">
        <v>34.544000000000004</v>
      </c>
      <c r="T339" s="5">
        <f t="shared" si="34"/>
        <v>1</v>
      </c>
      <c r="U339" s="5">
        <f t="shared" si="35"/>
        <v>1</v>
      </c>
      <c r="V339" s="5">
        <f t="shared" si="36"/>
        <v>1</v>
      </c>
      <c r="W339" s="5">
        <v>49.275999999999996</v>
      </c>
      <c r="X339" s="5">
        <v>0.79700000000000004</v>
      </c>
    </row>
    <row r="340" spans="1:24" x14ac:dyDescent="0.25">
      <c r="A340" s="5" t="s">
        <v>664</v>
      </c>
      <c r="B340" s="5">
        <v>27.084583707999997</v>
      </c>
      <c r="C340" s="5">
        <v>3445.1543999999999</v>
      </c>
      <c r="D340" s="6">
        <v>88.899999999999991</v>
      </c>
      <c r="E340" s="6">
        <v>76.199999999999989</v>
      </c>
      <c r="F340" s="5">
        <v>11.1252</v>
      </c>
      <c r="G340" s="5">
        <f t="shared" si="31"/>
        <v>1</v>
      </c>
      <c r="H340" s="6" t="str">
        <f t="shared" si="32"/>
        <v>LLBB</v>
      </c>
      <c r="I340" s="5">
        <v>27.686</v>
      </c>
      <c r="J340" s="5">
        <f t="shared" si="33"/>
        <v>0</v>
      </c>
      <c r="K340" s="5">
        <v>0.44900000000000001</v>
      </c>
      <c r="L340" s="5">
        <v>2580634.8387199999</v>
      </c>
      <c r="M340" s="5">
        <v>4.6399999999999997</v>
      </c>
      <c r="N340" s="5">
        <v>2.58</v>
      </c>
      <c r="O340" s="5">
        <v>27.431999999999999</v>
      </c>
      <c r="P340" s="5">
        <v>5078023.3923199996</v>
      </c>
      <c r="Q340" s="5">
        <v>106843.65727999998</v>
      </c>
      <c r="R340" s="5">
        <v>59157.301039999991</v>
      </c>
      <c r="S340" s="5">
        <v>38.353999999999999</v>
      </c>
      <c r="T340" s="5">
        <f t="shared" si="34"/>
        <v>1</v>
      </c>
      <c r="U340" s="5">
        <f t="shared" si="35"/>
        <v>1</v>
      </c>
      <c r="V340" s="5">
        <f t="shared" si="36"/>
        <v>1</v>
      </c>
      <c r="W340" s="5">
        <v>52.069999999999993</v>
      </c>
      <c r="X340" s="5">
        <v>0.81799999999999995</v>
      </c>
    </row>
    <row r="341" spans="1:24" x14ac:dyDescent="0.25">
      <c r="A341" s="5" t="s">
        <v>665</v>
      </c>
      <c r="B341" s="5">
        <v>23.512990252000002</v>
      </c>
      <c r="C341" s="5">
        <v>2993.5423999999998</v>
      </c>
      <c r="D341" s="6">
        <v>88.899999999999991</v>
      </c>
      <c r="E341" s="6">
        <v>76.199999999999989</v>
      </c>
      <c r="F341" s="5">
        <v>9.5249999999999986</v>
      </c>
      <c r="G341" s="5">
        <f t="shared" si="31"/>
        <v>1</v>
      </c>
      <c r="H341" s="6" t="str">
        <f t="shared" si="32"/>
        <v>LLBB</v>
      </c>
      <c r="I341" s="5">
        <v>27.178000000000001</v>
      </c>
      <c r="J341" s="5">
        <f t="shared" si="33"/>
        <v>0</v>
      </c>
      <c r="K341" s="5">
        <v>0.40699999999999997</v>
      </c>
      <c r="L341" s="5">
        <v>2272623.583776</v>
      </c>
      <c r="M341" s="5">
        <v>4.0599999999999996</v>
      </c>
      <c r="N341" s="5">
        <v>2.2400000000000002</v>
      </c>
      <c r="O341" s="5">
        <v>27.686</v>
      </c>
      <c r="P341" s="5">
        <v>2826211.3798239999</v>
      </c>
      <c r="Q341" s="5">
        <v>62598.58447999999</v>
      </c>
      <c r="R341" s="5">
        <v>37034.764639999994</v>
      </c>
      <c r="S341" s="5">
        <v>30.733999999999998</v>
      </c>
      <c r="T341" s="5">
        <f t="shared" si="34"/>
        <v>1</v>
      </c>
      <c r="U341" s="5">
        <f t="shared" si="35"/>
        <v>1</v>
      </c>
      <c r="V341" s="5">
        <f t="shared" si="36"/>
        <v>1</v>
      </c>
      <c r="W341" s="5">
        <v>46.99</v>
      </c>
      <c r="X341" s="5">
        <v>0.77300000000000002</v>
      </c>
    </row>
    <row r="342" spans="1:24" x14ac:dyDescent="0.25">
      <c r="A342" s="5" t="s">
        <v>666</v>
      </c>
      <c r="B342" s="5">
        <v>23.512990252000002</v>
      </c>
      <c r="C342" s="5">
        <v>2993.5423999999998</v>
      </c>
      <c r="D342" s="6">
        <v>88.899999999999991</v>
      </c>
      <c r="E342" s="6">
        <v>76.199999999999989</v>
      </c>
      <c r="F342" s="5">
        <v>9.5249999999999986</v>
      </c>
      <c r="G342" s="5">
        <f t="shared" si="31"/>
        <v>1</v>
      </c>
      <c r="H342" s="6" t="str">
        <f t="shared" si="32"/>
        <v>LLBB</v>
      </c>
      <c r="I342" s="5">
        <v>27.178000000000001</v>
      </c>
      <c r="J342" s="5">
        <f t="shared" si="33"/>
        <v>0</v>
      </c>
      <c r="K342" s="5">
        <v>0.40699999999999997</v>
      </c>
      <c r="L342" s="5">
        <v>2272623.583776</v>
      </c>
      <c r="M342" s="5">
        <v>4.0599999999999996</v>
      </c>
      <c r="N342" s="5">
        <v>2.2400000000000002</v>
      </c>
      <c r="O342" s="5">
        <v>27.686</v>
      </c>
      <c r="P342" s="5">
        <v>3521317.8605760001</v>
      </c>
      <c r="Q342" s="5">
        <v>76855.330159999998</v>
      </c>
      <c r="R342" s="5">
        <v>43425.719599999997</v>
      </c>
      <c r="S342" s="5">
        <v>34.29</v>
      </c>
      <c r="T342" s="5">
        <f t="shared" si="34"/>
        <v>1</v>
      </c>
      <c r="U342" s="5">
        <f t="shared" si="35"/>
        <v>1</v>
      </c>
      <c r="V342" s="5">
        <f t="shared" si="36"/>
        <v>1</v>
      </c>
      <c r="W342" s="5">
        <v>49.275999999999996</v>
      </c>
      <c r="X342" s="5">
        <v>0.79400000000000004</v>
      </c>
    </row>
    <row r="343" spans="1:24" x14ac:dyDescent="0.25">
      <c r="A343" s="5" t="s">
        <v>667</v>
      </c>
      <c r="B343" s="5">
        <v>23.512990252000002</v>
      </c>
      <c r="C343" s="5">
        <v>2993.5423999999998</v>
      </c>
      <c r="D343" s="6">
        <v>88.899999999999991</v>
      </c>
      <c r="E343" s="6">
        <v>76.199999999999989</v>
      </c>
      <c r="F343" s="5">
        <v>9.5249999999999986</v>
      </c>
      <c r="G343" s="5">
        <f t="shared" si="31"/>
        <v>1</v>
      </c>
      <c r="H343" s="6" t="str">
        <f t="shared" si="32"/>
        <v>LLBB</v>
      </c>
      <c r="I343" s="5">
        <v>27.178000000000001</v>
      </c>
      <c r="J343" s="5">
        <f t="shared" si="33"/>
        <v>0</v>
      </c>
      <c r="K343" s="5">
        <v>0.40699999999999997</v>
      </c>
      <c r="L343" s="5">
        <v>2272623.583776</v>
      </c>
      <c r="M343" s="5">
        <v>4.0599999999999996</v>
      </c>
      <c r="N343" s="5">
        <v>2.2400000000000002</v>
      </c>
      <c r="O343" s="5">
        <v>27.686</v>
      </c>
      <c r="P343" s="5">
        <v>4287183.6836799998</v>
      </c>
      <c r="Q343" s="5">
        <v>91112.07583999999</v>
      </c>
      <c r="R343" s="5">
        <v>49980.545199999993</v>
      </c>
      <c r="S343" s="5">
        <v>37.845999999999997</v>
      </c>
      <c r="T343" s="5">
        <f t="shared" si="34"/>
        <v>1</v>
      </c>
      <c r="U343" s="5">
        <f t="shared" si="35"/>
        <v>1</v>
      </c>
      <c r="V343" s="5">
        <f t="shared" si="36"/>
        <v>1</v>
      </c>
      <c r="W343" s="5">
        <v>52.069999999999993</v>
      </c>
      <c r="X343" s="5">
        <v>0.81399999999999995</v>
      </c>
    </row>
    <row r="344" spans="1:24" x14ac:dyDescent="0.25">
      <c r="A344" s="5" t="s">
        <v>668</v>
      </c>
      <c r="B344" s="5">
        <v>19.643764007999998</v>
      </c>
      <c r="C344" s="5">
        <v>2516.1239999999998</v>
      </c>
      <c r="D344" s="6">
        <v>88.899999999999991</v>
      </c>
      <c r="E344" s="6">
        <v>76.199999999999989</v>
      </c>
      <c r="F344" s="5">
        <v>7.9501999999999997</v>
      </c>
      <c r="G344" s="5">
        <f t="shared" si="31"/>
        <v>1</v>
      </c>
      <c r="H344" s="6" t="str">
        <f t="shared" si="32"/>
        <v>LLBB</v>
      </c>
      <c r="I344" s="5">
        <v>26.669999999999998</v>
      </c>
      <c r="J344" s="5">
        <f t="shared" si="33"/>
        <v>0</v>
      </c>
      <c r="K344" s="5">
        <v>0.38</v>
      </c>
      <c r="L344" s="5">
        <v>1939638.4432959999</v>
      </c>
      <c r="M344" s="5">
        <v>3.44</v>
      </c>
      <c r="N344" s="5">
        <v>1.9</v>
      </c>
      <c r="O344" s="5">
        <v>27.686</v>
      </c>
      <c r="P344" s="5">
        <v>2339220.6118719997</v>
      </c>
      <c r="Q344" s="5">
        <v>50963.769039999992</v>
      </c>
      <c r="R344" s="5">
        <v>30643.809679999998</v>
      </c>
      <c r="S344" s="5">
        <v>30.479999999999997</v>
      </c>
      <c r="T344" s="5">
        <f t="shared" si="34"/>
        <v>1</v>
      </c>
      <c r="U344" s="5">
        <f t="shared" si="35"/>
        <v>1</v>
      </c>
      <c r="V344" s="5">
        <f t="shared" si="36"/>
        <v>1</v>
      </c>
      <c r="W344" s="5">
        <v>46.99</v>
      </c>
      <c r="X344" s="5">
        <v>0.77</v>
      </c>
    </row>
    <row r="345" spans="1:24" x14ac:dyDescent="0.25">
      <c r="A345" s="5" t="s">
        <v>669</v>
      </c>
      <c r="B345" s="5">
        <v>19.643764007999998</v>
      </c>
      <c r="C345" s="5">
        <v>2516.1239999999998</v>
      </c>
      <c r="D345" s="6">
        <v>88.899999999999991</v>
      </c>
      <c r="E345" s="6">
        <v>76.199999999999989</v>
      </c>
      <c r="F345" s="5">
        <v>7.9501999999999997</v>
      </c>
      <c r="G345" s="5">
        <f t="shared" si="31"/>
        <v>1</v>
      </c>
      <c r="H345" s="6" t="str">
        <f t="shared" si="32"/>
        <v>LLBB</v>
      </c>
      <c r="I345" s="5">
        <v>26.669999999999998</v>
      </c>
      <c r="J345" s="5">
        <f t="shared" si="33"/>
        <v>0</v>
      </c>
      <c r="K345" s="5">
        <v>0.38</v>
      </c>
      <c r="L345" s="5">
        <v>1939638.4432959999</v>
      </c>
      <c r="M345" s="5">
        <v>3.44</v>
      </c>
      <c r="N345" s="5">
        <v>1.9</v>
      </c>
      <c r="O345" s="5">
        <v>27.686</v>
      </c>
      <c r="P345" s="5">
        <v>2871996.8366399999</v>
      </c>
      <c r="Q345" s="5">
        <v>62926.325759999992</v>
      </c>
      <c r="R345" s="5">
        <v>35396.058239999998</v>
      </c>
      <c r="S345" s="5">
        <v>33.781999999999996</v>
      </c>
      <c r="T345" s="5">
        <f t="shared" si="34"/>
        <v>1</v>
      </c>
      <c r="U345" s="5">
        <f t="shared" si="35"/>
        <v>1</v>
      </c>
      <c r="V345" s="5">
        <f t="shared" si="36"/>
        <v>1</v>
      </c>
      <c r="W345" s="5">
        <v>49.275999999999996</v>
      </c>
      <c r="X345" s="5">
        <v>0.79</v>
      </c>
    </row>
    <row r="346" spans="1:24" x14ac:dyDescent="0.25">
      <c r="A346" s="5" t="s">
        <v>670</v>
      </c>
      <c r="B346" s="5">
        <v>19.643764007999998</v>
      </c>
      <c r="C346" s="5">
        <v>2516.1239999999998</v>
      </c>
      <c r="D346" s="6">
        <v>88.899999999999991</v>
      </c>
      <c r="E346" s="6">
        <v>76.199999999999989</v>
      </c>
      <c r="F346" s="5">
        <v>7.9501999999999997</v>
      </c>
      <c r="G346" s="5">
        <f t="shared" si="31"/>
        <v>1</v>
      </c>
      <c r="H346" s="6" t="str">
        <f t="shared" si="32"/>
        <v>LLBB</v>
      </c>
      <c r="I346" s="5">
        <v>26.669999999999998</v>
      </c>
      <c r="J346" s="5">
        <f t="shared" si="33"/>
        <v>0</v>
      </c>
      <c r="K346" s="5">
        <v>0.38</v>
      </c>
      <c r="L346" s="5">
        <v>1939638.4432959999</v>
      </c>
      <c r="M346" s="5">
        <v>3.44</v>
      </c>
      <c r="N346" s="5">
        <v>1.9</v>
      </c>
      <c r="O346" s="5">
        <v>27.686</v>
      </c>
      <c r="P346" s="5">
        <v>3554616.3746239995</v>
      </c>
      <c r="Q346" s="5">
        <v>74888.88248</v>
      </c>
      <c r="R346" s="5">
        <v>41459.271919999992</v>
      </c>
      <c r="S346" s="5">
        <v>37.591999999999999</v>
      </c>
      <c r="T346" s="5">
        <f t="shared" si="34"/>
        <v>1</v>
      </c>
      <c r="U346" s="5">
        <f t="shared" si="35"/>
        <v>1</v>
      </c>
      <c r="V346" s="5">
        <f t="shared" si="36"/>
        <v>1</v>
      </c>
      <c r="W346" s="5">
        <v>51.815999999999995</v>
      </c>
      <c r="X346" s="5">
        <v>0.81100000000000005</v>
      </c>
    </row>
    <row r="347" spans="1:24" x14ac:dyDescent="0.25">
      <c r="A347" s="5" t="s">
        <v>671</v>
      </c>
      <c r="B347" s="5">
        <v>16.072170551999999</v>
      </c>
      <c r="C347" s="5">
        <v>2038.7056</v>
      </c>
      <c r="D347" s="6">
        <v>88.899999999999991</v>
      </c>
      <c r="E347" s="6">
        <v>76.199999999999989</v>
      </c>
      <c r="F347" s="5">
        <v>6.35</v>
      </c>
      <c r="G347" s="5">
        <f t="shared" si="31"/>
        <v>1</v>
      </c>
      <c r="H347" s="6" t="str">
        <f t="shared" si="32"/>
        <v>LLBB</v>
      </c>
      <c r="I347" s="5">
        <v>25.907999999999998</v>
      </c>
      <c r="J347" s="5">
        <f t="shared" si="33"/>
        <v>0</v>
      </c>
      <c r="K347" s="5">
        <v>0.34</v>
      </c>
      <c r="L347" s="5">
        <v>1598328.6743039999</v>
      </c>
      <c r="M347" s="5">
        <v>2.78</v>
      </c>
      <c r="N347" s="5">
        <v>1.55</v>
      </c>
      <c r="O347" s="5">
        <v>27.94</v>
      </c>
      <c r="P347" s="5">
        <v>1860554.4724319996</v>
      </c>
      <c r="Q347" s="5">
        <v>39984.436159999997</v>
      </c>
      <c r="R347" s="5">
        <v>24416.725359999997</v>
      </c>
      <c r="S347" s="5">
        <v>30.225999999999996</v>
      </c>
      <c r="T347" s="5">
        <f t="shared" si="34"/>
        <v>1</v>
      </c>
      <c r="U347" s="5">
        <f t="shared" si="35"/>
        <v>1</v>
      </c>
      <c r="V347" s="5">
        <f t="shared" si="36"/>
        <v>1</v>
      </c>
      <c r="W347" s="5">
        <v>46.99</v>
      </c>
      <c r="X347" s="5">
        <v>0.76700000000000002</v>
      </c>
    </row>
    <row r="348" spans="1:24" x14ac:dyDescent="0.25">
      <c r="A348" s="5" t="s">
        <v>672</v>
      </c>
      <c r="B348" s="5">
        <v>16.072170551999999</v>
      </c>
      <c r="C348" s="5">
        <v>2038.7056</v>
      </c>
      <c r="D348" s="6">
        <v>88.899999999999991</v>
      </c>
      <c r="E348" s="6">
        <v>76.199999999999989</v>
      </c>
      <c r="F348" s="5">
        <v>6.35</v>
      </c>
      <c r="G348" s="5">
        <f t="shared" si="31"/>
        <v>1</v>
      </c>
      <c r="H348" s="6" t="str">
        <f t="shared" si="32"/>
        <v>LLBB</v>
      </c>
      <c r="I348" s="5">
        <v>25.907999999999998</v>
      </c>
      <c r="J348" s="5">
        <f t="shared" si="33"/>
        <v>0</v>
      </c>
      <c r="K348" s="5">
        <v>0.34</v>
      </c>
      <c r="L348" s="5">
        <v>1598328.6743039999</v>
      </c>
      <c r="M348" s="5">
        <v>2.78</v>
      </c>
      <c r="N348" s="5">
        <v>1.55</v>
      </c>
      <c r="O348" s="5">
        <v>27.94</v>
      </c>
      <c r="P348" s="5">
        <v>2293435.1550559998</v>
      </c>
      <c r="Q348" s="5">
        <v>49816.674559999999</v>
      </c>
      <c r="R348" s="5">
        <v>28349.620719999995</v>
      </c>
      <c r="S348" s="5">
        <v>33.527999999999999</v>
      </c>
      <c r="T348" s="5">
        <f t="shared" si="34"/>
        <v>1</v>
      </c>
      <c r="U348" s="5">
        <f t="shared" si="35"/>
        <v>1</v>
      </c>
      <c r="V348" s="5">
        <f t="shared" si="36"/>
        <v>1</v>
      </c>
      <c r="W348" s="5">
        <v>49.275999999999996</v>
      </c>
      <c r="X348" s="5">
        <v>0.78700000000000003</v>
      </c>
    </row>
    <row r="349" spans="1:24" x14ac:dyDescent="0.25">
      <c r="A349" s="5" t="s">
        <v>673</v>
      </c>
      <c r="B349" s="5">
        <v>16.072170551999999</v>
      </c>
      <c r="C349" s="5">
        <v>2038.7056</v>
      </c>
      <c r="D349" s="6">
        <v>88.899999999999991</v>
      </c>
      <c r="E349" s="6">
        <v>76.199999999999989</v>
      </c>
      <c r="F349" s="5">
        <v>6.35</v>
      </c>
      <c r="G349" s="5">
        <f t="shared" si="31"/>
        <v>1</v>
      </c>
      <c r="H349" s="6" t="str">
        <f t="shared" si="32"/>
        <v>LLBB</v>
      </c>
      <c r="I349" s="5">
        <v>25.907999999999998</v>
      </c>
      <c r="J349" s="5">
        <f t="shared" si="33"/>
        <v>0</v>
      </c>
      <c r="K349" s="5">
        <v>0.34</v>
      </c>
      <c r="L349" s="5">
        <v>1598328.6743039999</v>
      </c>
      <c r="M349" s="5">
        <v>2.78</v>
      </c>
      <c r="N349" s="5">
        <v>1.55</v>
      </c>
      <c r="O349" s="5">
        <v>27.94</v>
      </c>
      <c r="P349" s="5">
        <v>2805399.8085439997</v>
      </c>
      <c r="Q349" s="5">
        <v>59485.042319999993</v>
      </c>
      <c r="R349" s="5">
        <v>32774.127999999997</v>
      </c>
      <c r="S349" s="5">
        <v>37.083999999999996</v>
      </c>
      <c r="T349" s="5">
        <f t="shared" si="34"/>
        <v>1</v>
      </c>
      <c r="U349" s="5">
        <f t="shared" si="35"/>
        <v>1</v>
      </c>
      <c r="V349" s="5">
        <f t="shared" si="36"/>
        <v>1</v>
      </c>
      <c r="W349" s="5">
        <v>51.815999999999995</v>
      </c>
      <c r="X349" s="5">
        <v>0.80700000000000005</v>
      </c>
    </row>
    <row r="350" spans="1:24" x14ac:dyDescent="0.25">
      <c r="A350" s="5" t="s">
        <v>674</v>
      </c>
      <c r="B350" s="5">
        <v>27.977482072000001</v>
      </c>
      <c r="C350" s="5">
        <v>3574.1864</v>
      </c>
      <c r="D350" s="6">
        <v>88.899999999999991</v>
      </c>
      <c r="E350" s="6">
        <v>63.5</v>
      </c>
      <c r="F350" s="5">
        <v>12.7</v>
      </c>
      <c r="G350" s="5">
        <f t="shared" si="31"/>
        <v>1</v>
      </c>
      <c r="H350" s="6" t="str">
        <f t="shared" si="32"/>
        <v>LLBB</v>
      </c>
      <c r="I350" s="5">
        <v>30.479999999999997</v>
      </c>
      <c r="J350" s="5">
        <f t="shared" si="33"/>
        <v>0</v>
      </c>
      <c r="K350" s="5">
        <v>0.73</v>
      </c>
      <c r="L350" s="5">
        <v>2697179.6378879999</v>
      </c>
      <c r="M350" s="5">
        <v>5.04</v>
      </c>
      <c r="N350" s="5">
        <v>2.82</v>
      </c>
      <c r="O350" s="5">
        <v>27.431999999999999</v>
      </c>
      <c r="P350" s="5">
        <v>2268461.2695199996</v>
      </c>
      <c r="Q350" s="5">
        <v>63581.808319999989</v>
      </c>
      <c r="R350" s="5">
        <v>35723.79952</v>
      </c>
      <c r="S350" s="5">
        <v>25.1968</v>
      </c>
      <c r="T350" s="5">
        <f t="shared" si="34"/>
        <v>1</v>
      </c>
      <c r="U350" s="5">
        <f t="shared" si="35"/>
        <v>1</v>
      </c>
      <c r="V350" s="5">
        <f t="shared" si="36"/>
        <v>1</v>
      </c>
      <c r="W350" s="5">
        <v>44.449999999999996</v>
      </c>
      <c r="X350" s="5">
        <v>0.70599999999999996</v>
      </c>
    </row>
    <row r="351" spans="1:24" x14ac:dyDescent="0.25">
      <c r="A351" s="5" t="s">
        <v>675</v>
      </c>
      <c r="B351" s="5">
        <v>27.977482072000001</v>
      </c>
      <c r="C351" s="5">
        <v>3574.1864</v>
      </c>
      <c r="D351" s="6">
        <v>88.899999999999991</v>
      </c>
      <c r="E351" s="6">
        <v>63.5</v>
      </c>
      <c r="F351" s="5">
        <v>12.7</v>
      </c>
      <c r="G351" s="5">
        <f t="shared" si="31"/>
        <v>1</v>
      </c>
      <c r="H351" s="6" t="str">
        <f t="shared" si="32"/>
        <v>LLBB</v>
      </c>
      <c r="I351" s="5">
        <v>30.479999999999997</v>
      </c>
      <c r="J351" s="5">
        <f t="shared" si="33"/>
        <v>0</v>
      </c>
      <c r="K351" s="5">
        <v>0.73</v>
      </c>
      <c r="L351" s="5">
        <v>2697179.6378879999</v>
      </c>
      <c r="M351" s="5">
        <v>5.04</v>
      </c>
      <c r="N351" s="5">
        <v>2.82</v>
      </c>
      <c r="O351" s="5">
        <v>27.431999999999999</v>
      </c>
      <c r="P351" s="5">
        <v>2942756.1789919999</v>
      </c>
      <c r="Q351" s="5">
        <v>80624.354879999984</v>
      </c>
      <c r="R351" s="5">
        <v>43097.978319999995</v>
      </c>
      <c r="S351" s="5">
        <v>28.701999999999995</v>
      </c>
      <c r="T351" s="5">
        <f t="shared" si="34"/>
        <v>1</v>
      </c>
      <c r="U351" s="5">
        <f t="shared" si="35"/>
        <v>1</v>
      </c>
      <c r="V351" s="5">
        <f t="shared" si="36"/>
        <v>1</v>
      </c>
      <c r="W351" s="5">
        <v>46.481999999999999</v>
      </c>
      <c r="X351" s="5">
        <v>0.73199999999999998</v>
      </c>
    </row>
    <row r="352" spans="1:24" x14ac:dyDescent="0.25">
      <c r="A352" s="5" t="s">
        <v>676</v>
      </c>
      <c r="B352" s="5">
        <v>27.977482072000001</v>
      </c>
      <c r="C352" s="5">
        <v>3574.1864</v>
      </c>
      <c r="D352" s="6">
        <v>88.899999999999991</v>
      </c>
      <c r="E352" s="6">
        <v>63.5</v>
      </c>
      <c r="F352" s="5">
        <v>12.7</v>
      </c>
      <c r="G352" s="5">
        <f t="shared" si="31"/>
        <v>1</v>
      </c>
      <c r="H352" s="6" t="str">
        <f t="shared" si="32"/>
        <v>LLBB</v>
      </c>
      <c r="I352" s="5">
        <v>30.479999999999997</v>
      </c>
      <c r="J352" s="5">
        <f t="shared" si="33"/>
        <v>0</v>
      </c>
      <c r="K352" s="5">
        <v>0.73</v>
      </c>
      <c r="L352" s="5">
        <v>2697179.6378879999</v>
      </c>
      <c r="M352" s="5">
        <v>5.04</v>
      </c>
      <c r="N352" s="5">
        <v>2.82</v>
      </c>
      <c r="O352" s="5">
        <v>27.431999999999999</v>
      </c>
      <c r="P352" s="5">
        <v>3779381.3444479997</v>
      </c>
      <c r="Q352" s="5">
        <v>97666.901439999987</v>
      </c>
      <c r="R352" s="5">
        <v>51783.122239999997</v>
      </c>
      <c r="S352" s="5">
        <v>32.512</v>
      </c>
      <c r="T352" s="5">
        <f t="shared" si="34"/>
        <v>1</v>
      </c>
      <c r="U352" s="5">
        <f t="shared" si="35"/>
        <v>1</v>
      </c>
      <c r="V352" s="5">
        <f t="shared" si="36"/>
        <v>1</v>
      </c>
      <c r="W352" s="5">
        <v>49.021999999999998</v>
      </c>
      <c r="X352" s="5">
        <v>0.75900000000000001</v>
      </c>
    </row>
    <row r="353" spans="1:24" x14ac:dyDescent="0.25">
      <c r="A353" s="5" t="s">
        <v>677</v>
      </c>
      <c r="B353" s="5">
        <v>21.429560735999999</v>
      </c>
      <c r="C353" s="5">
        <v>2735.4784</v>
      </c>
      <c r="D353" s="6">
        <v>88.899999999999991</v>
      </c>
      <c r="E353" s="6">
        <v>63.5</v>
      </c>
      <c r="F353" s="5">
        <v>9.5249999999999986</v>
      </c>
      <c r="G353" s="5">
        <f t="shared" si="31"/>
        <v>1</v>
      </c>
      <c r="H353" s="6" t="str">
        <f t="shared" si="32"/>
        <v>LLBB</v>
      </c>
      <c r="I353" s="5">
        <v>29.209999999999997</v>
      </c>
      <c r="J353" s="5">
        <f t="shared" si="33"/>
        <v>0</v>
      </c>
      <c r="K353" s="5">
        <v>0.67300000000000004</v>
      </c>
      <c r="L353" s="5">
        <v>2131104.8990719998</v>
      </c>
      <c r="M353" s="5">
        <v>3.92</v>
      </c>
      <c r="N353" s="5">
        <v>2.1800000000000002</v>
      </c>
      <c r="O353" s="5">
        <v>27.94</v>
      </c>
      <c r="P353" s="5">
        <v>1660763.388144</v>
      </c>
      <c r="Q353" s="5">
        <v>45556.037919999995</v>
      </c>
      <c r="R353" s="5">
        <v>26219.3024</v>
      </c>
      <c r="S353" s="5">
        <v>24.637999999999998</v>
      </c>
      <c r="T353" s="5">
        <f t="shared" si="34"/>
        <v>1</v>
      </c>
      <c r="U353" s="5">
        <f t="shared" si="35"/>
        <v>1</v>
      </c>
      <c r="V353" s="5">
        <f t="shared" si="36"/>
        <v>1</v>
      </c>
      <c r="W353" s="5">
        <v>44.449999999999996</v>
      </c>
      <c r="X353" s="5">
        <v>0.69799999999999995</v>
      </c>
    </row>
    <row r="354" spans="1:24" x14ac:dyDescent="0.25">
      <c r="A354" s="5" t="s">
        <v>678</v>
      </c>
      <c r="B354" s="5">
        <v>21.429560735999999</v>
      </c>
      <c r="C354" s="5">
        <v>2735.4784</v>
      </c>
      <c r="D354" s="6">
        <v>88.899999999999991</v>
      </c>
      <c r="E354" s="6">
        <v>63.5</v>
      </c>
      <c r="F354" s="5">
        <v>9.5249999999999986</v>
      </c>
      <c r="G354" s="5">
        <f t="shared" si="31"/>
        <v>1</v>
      </c>
      <c r="H354" s="6" t="str">
        <f t="shared" si="32"/>
        <v>LLBB</v>
      </c>
      <c r="I354" s="5">
        <v>29.209999999999997</v>
      </c>
      <c r="J354" s="5">
        <f t="shared" si="33"/>
        <v>0</v>
      </c>
      <c r="K354" s="5">
        <v>0.67300000000000004</v>
      </c>
      <c r="L354" s="5">
        <v>2131104.8990719998</v>
      </c>
      <c r="M354" s="5">
        <v>3.92</v>
      </c>
      <c r="N354" s="5">
        <v>2.1800000000000002</v>
      </c>
      <c r="O354" s="5">
        <v>27.94</v>
      </c>
      <c r="P354" s="5">
        <v>2172728.0416319999</v>
      </c>
      <c r="Q354" s="5">
        <v>58501.818479999994</v>
      </c>
      <c r="R354" s="5">
        <v>31790.904159999995</v>
      </c>
      <c r="S354" s="5">
        <v>28.194000000000003</v>
      </c>
      <c r="T354" s="5">
        <f t="shared" si="34"/>
        <v>1</v>
      </c>
      <c r="U354" s="5">
        <f t="shared" si="35"/>
        <v>1</v>
      </c>
      <c r="V354" s="5">
        <f t="shared" si="36"/>
        <v>1</v>
      </c>
      <c r="W354" s="5">
        <v>46.481999999999999</v>
      </c>
      <c r="X354" s="5">
        <v>0.72399999999999998</v>
      </c>
    </row>
    <row r="355" spans="1:24" x14ac:dyDescent="0.25">
      <c r="A355" s="5" t="s">
        <v>679</v>
      </c>
      <c r="B355" s="5">
        <v>21.429560735999999</v>
      </c>
      <c r="C355" s="5">
        <v>2735.4784</v>
      </c>
      <c r="D355" s="6">
        <v>88.899999999999991</v>
      </c>
      <c r="E355" s="6">
        <v>63.5</v>
      </c>
      <c r="F355" s="5">
        <v>9.5249999999999986</v>
      </c>
      <c r="G355" s="5">
        <f t="shared" si="31"/>
        <v>1</v>
      </c>
      <c r="H355" s="6" t="str">
        <f t="shared" si="32"/>
        <v>LLBB</v>
      </c>
      <c r="I355" s="5">
        <v>29.209999999999997</v>
      </c>
      <c r="J355" s="5">
        <f t="shared" si="33"/>
        <v>0</v>
      </c>
      <c r="K355" s="5">
        <v>0.67300000000000004</v>
      </c>
      <c r="L355" s="5">
        <v>2131104.8990719998</v>
      </c>
      <c r="M355" s="5">
        <v>3.92</v>
      </c>
      <c r="N355" s="5">
        <v>2.1800000000000002</v>
      </c>
      <c r="O355" s="5">
        <v>27.94</v>
      </c>
      <c r="P355" s="5">
        <v>2759614.3517279997</v>
      </c>
      <c r="Q355" s="5">
        <v>71611.469679999995</v>
      </c>
      <c r="R355" s="5">
        <v>37854.117839999999</v>
      </c>
      <c r="S355" s="5">
        <v>31.75</v>
      </c>
      <c r="T355" s="5">
        <f t="shared" si="34"/>
        <v>1</v>
      </c>
      <c r="U355" s="5">
        <f t="shared" si="35"/>
        <v>1</v>
      </c>
      <c r="V355" s="5">
        <f t="shared" si="36"/>
        <v>1</v>
      </c>
      <c r="W355" s="5">
        <v>49.021999999999998</v>
      </c>
      <c r="X355" s="5">
        <v>0.75</v>
      </c>
    </row>
    <row r="356" spans="1:24" x14ac:dyDescent="0.25">
      <c r="A356" s="5" t="s">
        <v>680</v>
      </c>
      <c r="B356" s="5">
        <v>18.155600067999998</v>
      </c>
      <c r="C356" s="5">
        <v>2309.6727999999998</v>
      </c>
      <c r="D356" s="6">
        <v>88.899999999999991</v>
      </c>
      <c r="E356" s="6">
        <v>63.5</v>
      </c>
      <c r="F356" s="5">
        <v>7.9501999999999997</v>
      </c>
      <c r="G356" s="5">
        <f t="shared" si="31"/>
        <v>1</v>
      </c>
      <c r="H356" s="6" t="str">
        <f t="shared" si="32"/>
        <v>LLBB</v>
      </c>
      <c r="I356" s="5">
        <v>28.701999999999995</v>
      </c>
      <c r="J356" s="5">
        <f t="shared" si="33"/>
        <v>0</v>
      </c>
      <c r="K356" s="5">
        <v>0.63600000000000001</v>
      </c>
      <c r="L356" s="5">
        <v>1831418.2726399999</v>
      </c>
      <c r="M356" s="5">
        <v>3.34</v>
      </c>
      <c r="N356" s="5">
        <v>1.85</v>
      </c>
      <c r="O356" s="5">
        <v>28.194000000000003</v>
      </c>
      <c r="P356" s="5">
        <v>1373563.7044799998</v>
      </c>
      <c r="Q356" s="5">
        <v>37034.764639999994</v>
      </c>
      <c r="R356" s="5">
        <v>21630.924479999998</v>
      </c>
      <c r="S356" s="5">
        <v>24.383999999999997</v>
      </c>
      <c r="T356" s="5">
        <f t="shared" si="34"/>
        <v>1</v>
      </c>
      <c r="U356" s="5">
        <f t="shared" si="35"/>
        <v>1</v>
      </c>
      <c r="V356" s="5">
        <f t="shared" si="36"/>
        <v>1</v>
      </c>
      <c r="W356" s="5">
        <v>44.704000000000001</v>
      </c>
      <c r="X356" s="5">
        <v>0.69499999999999995</v>
      </c>
    </row>
    <row r="357" spans="1:24" x14ac:dyDescent="0.25">
      <c r="A357" s="5" t="s">
        <v>681</v>
      </c>
      <c r="B357" s="5">
        <v>18.155600067999998</v>
      </c>
      <c r="C357" s="5">
        <v>2309.6727999999998</v>
      </c>
      <c r="D357" s="6">
        <v>88.899999999999991</v>
      </c>
      <c r="E357" s="6">
        <v>63.5</v>
      </c>
      <c r="F357" s="5">
        <v>7.9501999999999997</v>
      </c>
      <c r="G357" s="5">
        <f t="shared" si="31"/>
        <v>1</v>
      </c>
      <c r="H357" s="6" t="str">
        <f t="shared" si="32"/>
        <v>LLBB</v>
      </c>
      <c r="I357" s="5">
        <v>28.701999999999995</v>
      </c>
      <c r="J357" s="5">
        <f t="shared" si="33"/>
        <v>0</v>
      </c>
      <c r="K357" s="5">
        <v>0.63600000000000001</v>
      </c>
      <c r="L357" s="5">
        <v>1831418.2726399999</v>
      </c>
      <c r="M357" s="5">
        <v>3.34</v>
      </c>
      <c r="N357" s="5">
        <v>1.85</v>
      </c>
      <c r="O357" s="5">
        <v>28.194000000000003</v>
      </c>
      <c r="P357" s="5">
        <v>1768983.5587999998</v>
      </c>
      <c r="Q357" s="5">
        <v>48014.097519999996</v>
      </c>
      <c r="R357" s="5">
        <v>25891.561119999998</v>
      </c>
      <c r="S357" s="5">
        <v>27.686</v>
      </c>
      <c r="T357" s="5">
        <f t="shared" si="34"/>
        <v>1</v>
      </c>
      <c r="U357" s="5">
        <f t="shared" si="35"/>
        <v>1</v>
      </c>
      <c r="V357" s="5">
        <f t="shared" si="36"/>
        <v>1</v>
      </c>
      <c r="W357" s="5">
        <v>46.481999999999999</v>
      </c>
      <c r="X357" s="5">
        <v>0.72</v>
      </c>
    </row>
    <row r="358" spans="1:24" x14ac:dyDescent="0.25">
      <c r="A358" s="5" t="s">
        <v>682</v>
      </c>
      <c r="B358" s="5">
        <v>18.155600067999998</v>
      </c>
      <c r="C358" s="5">
        <v>2309.6727999999998</v>
      </c>
      <c r="D358" s="6">
        <v>88.899999999999991</v>
      </c>
      <c r="E358" s="6">
        <v>63.5</v>
      </c>
      <c r="F358" s="5">
        <v>7.9501999999999997</v>
      </c>
      <c r="G358" s="5">
        <f t="shared" si="31"/>
        <v>1</v>
      </c>
      <c r="H358" s="6" t="str">
        <f t="shared" si="32"/>
        <v>LLBB</v>
      </c>
      <c r="I358" s="5">
        <v>28.701999999999995</v>
      </c>
      <c r="J358" s="5">
        <f t="shared" si="33"/>
        <v>0</v>
      </c>
      <c r="K358" s="5">
        <v>0.63600000000000001</v>
      </c>
      <c r="L358" s="5">
        <v>1831418.2726399999</v>
      </c>
      <c r="M358" s="5">
        <v>3.34</v>
      </c>
      <c r="N358" s="5">
        <v>1.85</v>
      </c>
      <c r="O358" s="5">
        <v>28.194000000000003</v>
      </c>
      <c r="P358" s="5">
        <v>2289272.8407999999</v>
      </c>
      <c r="Q358" s="5">
        <v>59157.301039999991</v>
      </c>
      <c r="R358" s="5">
        <v>31299.292239999995</v>
      </c>
      <c r="S358" s="5">
        <v>31.495999999999999</v>
      </c>
      <c r="T358" s="5">
        <f t="shared" si="34"/>
        <v>1</v>
      </c>
      <c r="U358" s="5">
        <f t="shared" si="35"/>
        <v>1</v>
      </c>
      <c r="V358" s="5">
        <f t="shared" si="36"/>
        <v>1</v>
      </c>
      <c r="W358" s="5">
        <v>48.767999999999994</v>
      </c>
      <c r="X358" s="5">
        <v>0.746</v>
      </c>
    </row>
    <row r="359" spans="1:24" x14ac:dyDescent="0.25">
      <c r="A359" s="5" t="s">
        <v>683</v>
      </c>
      <c r="B359" s="5">
        <v>14.584006612000001</v>
      </c>
      <c r="C359" s="5">
        <v>1870.9639999999999</v>
      </c>
      <c r="D359" s="6">
        <v>88.899999999999991</v>
      </c>
      <c r="E359" s="6">
        <v>63.5</v>
      </c>
      <c r="F359" s="5">
        <v>6.35</v>
      </c>
      <c r="G359" s="5">
        <f t="shared" si="31"/>
        <v>1</v>
      </c>
      <c r="H359" s="6" t="str">
        <f t="shared" si="32"/>
        <v>LLBB</v>
      </c>
      <c r="I359" s="5">
        <v>27.94</v>
      </c>
      <c r="J359" s="5">
        <f t="shared" si="33"/>
        <v>0</v>
      </c>
      <c r="K359" s="5">
        <v>0.6</v>
      </c>
      <c r="L359" s="5">
        <v>1506757.760672</v>
      </c>
      <c r="M359" s="5">
        <v>2.72</v>
      </c>
      <c r="N359" s="5">
        <v>1.51</v>
      </c>
      <c r="O359" s="5">
        <v>28.448</v>
      </c>
      <c r="P359" s="5">
        <v>1090526.335072</v>
      </c>
      <c r="Q359" s="5">
        <v>28841.232639999998</v>
      </c>
      <c r="R359" s="5">
        <v>17206.4172</v>
      </c>
      <c r="S359" s="5">
        <v>24.13</v>
      </c>
      <c r="T359" s="5">
        <f t="shared" si="34"/>
        <v>1</v>
      </c>
      <c r="U359" s="5">
        <f t="shared" si="35"/>
        <v>1</v>
      </c>
      <c r="V359" s="5">
        <f t="shared" si="36"/>
        <v>1</v>
      </c>
      <c r="W359" s="5">
        <v>44.704000000000001</v>
      </c>
      <c r="X359" s="5">
        <v>0.69299999999999995</v>
      </c>
    </row>
    <row r="360" spans="1:24" x14ac:dyDescent="0.25">
      <c r="A360" s="5" t="s">
        <v>684</v>
      </c>
      <c r="B360" s="5">
        <v>14.584006612000001</v>
      </c>
      <c r="C360" s="5">
        <v>1870.9639999999999</v>
      </c>
      <c r="D360" s="6">
        <v>88.899999999999991</v>
      </c>
      <c r="E360" s="6">
        <v>63.5</v>
      </c>
      <c r="F360" s="5">
        <v>6.35</v>
      </c>
      <c r="G360" s="5">
        <f t="shared" si="31"/>
        <v>1</v>
      </c>
      <c r="H360" s="6" t="str">
        <f t="shared" si="32"/>
        <v>LLBB</v>
      </c>
      <c r="I360" s="5">
        <v>27.94</v>
      </c>
      <c r="J360" s="5">
        <f t="shared" si="33"/>
        <v>0</v>
      </c>
      <c r="K360" s="5">
        <v>0.6</v>
      </c>
      <c r="L360" s="5">
        <v>1506757.760672</v>
      </c>
      <c r="M360" s="5">
        <v>2.72</v>
      </c>
      <c r="N360" s="5">
        <v>1.51</v>
      </c>
      <c r="O360" s="5">
        <v>28.448</v>
      </c>
      <c r="P360" s="5">
        <v>1406862.2185279997</v>
      </c>
      <c r="Q360" s="5">
        <v>37690.247199999991</v>
      </c>
      <c r="R360" s="5">
        <v>20647.700639999999</v>
      </c>
      <c r="S360" s="5">
        <v>27.431999999999999</v>
      </c>
      <c r="T360" s="5">
        <f t="shared" si="34"/>
        <v>1</v>
      </c>
      <c r="U360" s="5">
        <f t="shared" si="35"/>
        <v>1</v>
      </c>
      <c r="V360" s="5">
        <f t="shared" si="36"/>
        <v>1</v>
      </c>
      <c r="W360" s="5">
        <v>46.481999999999999</v>
      </c>
      <c r="X360" s="5">
        <v>0.71699999999999997</v>
      </c>
    </row>
    <row r="361" spans="1:24" x14ac:dyDescent="0.25">
      <c r="A361" s="5" t="s">
        <v>685</v>
      </c>
      <c r="B361" s="5">
        <v>14.584006612000001</v>
      </c>
      <c r="C361" s="5">
        <v>1870.9639999999999</v>
      </c>
      <c r="D361" s="6">
        <v>88.899999999999991</v>
      </c>
      <c r="E361" s="6">
        <v>63.5</v>
      </c>
      <c r="F361" s="5">
        <v>6.35</v>
      </c>
      <c r="G361" s="5">
        <f t="shared" si="31"/>
        <v>1</v>
      </c>
      <c r="H361" s="6" t="str">
        <f t="shared" si="32"/>
        <v>LLBB</v>
      </c>
      <c r="I361" s="5">
        <v>27.94</v>
      </c>
      <c r="J361" s="5">
        <f t="shared" si="33"/>
        <v>0</v>
      </c>
      <c r="K361" s="5">
        <v>0.6</v>
      </c>
      <c r="L361" s="5">
        <v>1506757.760672</v>
      </c>
      <c r="M361" s="5">
        <v>2.72</v>
      </c>
      <c r="N361" s="5">
        <v>1.51</v>
      </c>
      <c r="O361" s="5">
        <v>28.448</v>
      </c>
      <c r="P361" s="5">
        <v>1798119.758592</v>
      </c>
      <c r="Q361" s="5">
        <v>46703.132399999995</v>
      </c>
      <c r="R361" s="5">
        <v>24580.595999999998</v>
      </c>
      <c r="S361" s="5">
        <v>30.987999999999996</v>
      </c>
      <c r="T361" s="5">
        <f t="shared" si="34"/>
        <v>1</v>
      </c>
      <c r="U361" s="5">
        <f t="shared" si="35"/>
        <v>1</v>
      </c>
      <c r="V361" s="5">
        <f t="shared" si="36"/>
        <v>1</v>
      </c>
      <c r="W361" s="5">
        <v>48.767999999999994</v>
      </c>
      <c r="X361" s="5">
        <v>0.74199999999999999</v>
      </c>
    </row>
    <row r="362" spans="1:24" x14ac:dyDescent="0.25">
      <c r="A362" s="5" t="s">
        <v>686</v>
      </c>
      <c r="B362" s="5">
        <v>25.298786979999999</v>
      </c>
      <c r="C362" s="5">
        <v>3225.7999999999997</v>
      </c>
      <c r="D362" s="6">
        <v>76.199999999999989</v>
      </c>
      <c r="E362" s="6">
        <v>63.5</v>
      </c>
      <c r="F362" s="5">
        <v>12.7</v>
      </c>
      <c r="G362" s="5">
        <f t="shared" si="31"/>
        <v>1</v>
      </c>
      <c r="H362" s="6" t="str">
        <f t="shared" si="32"/>
        <v>LLBB</v>
      </c>
      <c r="I362" s="5">
        <v>25.273</v>
      </c>
      <c r="J362" s="5">
        <f t="shared" si="33"/>
        <v>0</v>
      </c>
      <c r="K362" s="5">
        <v>0.5</v>
      </c>
      <c r="L362" s="5">
        <v>1723198.1019839996</v>
      </c>
      <c r="M362" s="5">
        <v>3.72</v>
      </c>
      <c r="N362" s="5">
        <v>2.06</v>
      </c>
      <c r="O362" s="5">
        <v>23.114000000000001</v>
      </c>
      <c r="P362" s="5">
        <v>2251812.0124959997</v>
      </c>
      <c r="Q362" s="5">
        <v>61123.748719999996</v>
      </c>
      <c r="R362" s="5">
        <v>35396.058239999998</v>
      </c>
      <c r="S362" s="5">
        <v>26.416</v>
      </c>
      <c r="T362" s="5">
        <f t="shared" si="34"/>
        <v>1</v>
      </c>
      <c r="U362" s="5">
        <f t="shared" si="35"/>
        <v>1</v>
      </c>
      <c r="V362" s="5">
        <f t="shared" si="36"/>
        <v>1</v>
      </c>
      <c r="W362" s="5">
        <v>39.878</v>
      </c>
      <c r="X362" s="5">
        <v>0.77400000000000002</v>
      </c>
    </row>
    <row r="363" spans="1:24" x14ac:dyDescent="0.25">
      <c r="A363" s="5" t="s">
        <v>687</v>
      </c>
      <c r="B363" s="5">
        <v>25.298786979999999</v>
      </c>
      <c r="C363" s="5">
        <v>3225.7999999999997</v>
      </c>
      <c r="D363" s="6">
        <v>76.199999999999989</v>
      </c>
      <c r="E363" s="6">
        <v>63.5</v>
      </c>
      <c r="F363" s="5">
        <v>12.7</v>
      </c>
      <c r="G363" s="5">
        <f t="shared" si="31"/>
        <v>1</v>
      </c>
      <c r="H363" s="6" t="str">
        <f t="shared" si="32"/>
        <v>LLBB</v>
      </c>
      <c r="I363" s="5">
        <v>25.273</v>
      </c>
      <c r="J363" s="5">
        <f t="shared" si="33"/>
        <v>0</v>
      </c>
      <c r="K363" s="5">
        <v>0.5</v>
      </c>
      <c r="L363" s="5">
        <v>1723198.1019839996</v>
      </c>
      <c r="M363" s="5">
        <v>3.72</v>
      </c>
      <c r="N363" s="5">
        <v>2.06</v>
      </c>
      <c r="O363" s="5">
        <v>23.114000000000001</v>
      </c>
      <c r="P363" s="5">
        <v>2896970.7221759995</v>
      </c>
      <c r="Q363" s="5">
        <v>76527.588879999996</v>
      </c>
      <c r="R363" s="5">
        <v>42442.495759999991</v>
      </c>
      <c r="S363" s="5">
        <v>29.971999999999998</v>
      </c>
      <c r="T363" s="5">
        <f t="shared" si="34"/>
        <v>1</v>
      </c>
      <c r="U363" s="5">
        <f t="shared" si="35"/>
        <v>1</v>
      </c>
      <c r="V363" s="5">
        <f t="shared" si="36"/>
        <v>1</v>
      </c>
      <c r="W363" s="5">
        <v>42.163999999999994</v>
      </c>
      <c r="X363" s="5">
        <v>0.8</v>
      </c>
    </row>
    <row r="364" spans="1:24" x14ac:dyDescent="0.25">
      <c r="A364" s="5" t="s">
        <v>688</v>
      </c>
      <c r="B364" s="5">
        <v>25.298786979999999</v>
      </c>
      <c r="C364" s="5">
        <v>3225.7999999999997</v>
      </c>
      <c r="D364" s="6">
        <v>76.199999999999989</v>
      </c>
      <c r="E364" s="6">
        <v>63.5</v>
      </c>
      <c r="F364" s="5">
        <v>12.7</v>
      </c>
      <c r="G364" s="5">
        <f t="shared" si="31"/>
        <v>1</v>
      </c>
      <c r="H364" s="6" t="str">
        <f t="shared" si="32"/>
        <v>LLBB</v>
      </c>
      <c r="I364" s="5">
        <v>25.273</v>
      </c>
      <c r="J364" s="5">
        <f t="shared" si="33"/>
        <v>0</v>
      </c>
      <c r="K364" s="5">
        <v>0.5</v>
      </c>
      <c r="L364" s="5">
        <v>1723198.1019839996</v>
      </c>
      <c r="M364" s="5">
        <v>3.72</v>
      </c>
      <c r="N364" s="5">
        <v>2.06</v>
      </c>
      <c r="O364" s="5">
        <v>23.114000000000001</v>
      </c>
      <c r="P364" s="5">
        <v>3679485.8023039997</v>
      </c>
      <c r="Q364" s="5">
        <v>91767.55839999998</v>
      </c>
      <c r="R364" s="5">
        <v>50308.286479999995</v>
      </c>
      <c r="S364" s="5">
        <v>33.781999999999996</v>
      </c>
      <c r="T364" s="5">
        <f t="shared" si="34"/>
        <v>1</v>
      </c>
      <c r="U364" s="5">
        <f t="shared" si="35"/>
        <v>1</v>
      </c>
      <c r="V364" s="5">
        <f t="shared" si="36"/>
        <v>1</v>
      </c>
      <c r="W364" s="5">
        <v>45.211999999999996</v>
      </c>
      <c r="X364" s="5">
        <v>0.82399999999999995</v>
      </c>
    </row>
    <row r="365" spans="1:24" x14ac:dyDescent="0.25">
      <c r="A365" s="5" t="s">
        <v>689</v>
      </c>
      <c r="B365" s="5">
        <v>22.620091887999997</v>
      </c>
      <c r="C365" s="5">
        <v>2864.5104000000001</v>
      </c>
      <c r="D365" s="6">
        <v>76.199999999999989</v>
      </c>
      <c r="E365" s="6">
        <v>63.5</v>
      </c>
      <c r="F365" s="5">
        <v>11.1252</v>
      </c>
      <c r="G365" s="5">
        <f t="shared" si="31"/>
        <v>1</v>
      </c>
      <c r="H365" s="6" t="str">
        <f t="shared" si="32"/>
        <v>LLBB</v>
      </c>
      <c r="I365" s="5">
        <v>24.688799999999997</v>
      </c>
      <c r="J365" s="5">
        <f t="shared" si="33"/>
        <v>0</v>
      </c>
      <c r="K365" s="5">
        <v>0.46300000000000002</v>
      </c>
      <c r="L365" s="5">
        <v>1556705.531744</v>
      </c>
      <c r="M365" s="5">
        <v>3.32</v>
      </c>
      <c r="N365" s="5">
        <v>1.84</v>
      </c>
      <c r="O365" s="5">
        <v>23.291799999999999</v>
      </c>
      <c r="P365" s="5">
        <v>1922989.186272</v>
      </c>
      <c r="Q365" s="5">
        <v>52602.475439999995</v>
      </c>
      <c r="R365" s="5">
        <v>30316.0684</v>
      </c>
      <c r="S365" s="5">
        <v>25.907999999999998</v>
      </c>
      <c r="T365" s="5">
        <f t="shared" si="34"/>
        <v>1</v>
      </c>
      <c r="U365" s="5">
        <f t="shared" si="35"/>
        <v>1</v>
      </c>
      <c r="V365" s="5">
        <f t="shared" si="36"/>
        <v>1</v>
      </c>
      <c r="W365" s="5">
        <v>39.878</v>
      </c>
      <c r="X365" s="5">
        <v>0.76900000000000002</v>
      </c>
    </row>
    <row r="366" spans="1:24" x14ac:dyDescent="0.25">
      <c r="A366" s="5" t="s">
        <v>690</v>
      </c>
      <c r="B366" s="5">
        <v>22.620091887999997</v>
      </c>
      <c r="C366" s="5">
        <v>2864.5104000000001</v>
      </c>
      <c r="D366" s="6">
        <v>76.199999999999989</v>
      </c>
      <c r="E366" s="6">
        <v>63.5</v>
      </c>
      <c r="F366" s="5">
        <v>11.1252</v>
      </c>
      <c r="G366" s="5">
        <f t="shared" si="31"/>
        <v>1</v>
      </c>
      <c r="H366" s="6" t="str">
        <f t="shared" si="32"/>
        <v>LLBB</v>
      </c>
      <c r="I366" s="5">
        <v>24.688799999999997</v>
      </c>
      <c r="J366" s="5">
        <f t="shared" si="33"/>
        <v>0</v>
      </c>
      <c r="K366" s="5">
        <v>0.46300000000000002</v>
      </c>
      <c r="L366" s="5">
        <v>1556705.531744</v>
      </c>
      <c r="M366" s="5">
        <v>3.32</v>
      </c>
      <c r="N366" s="5">
        <v>1.84</v>
      </c>
      <c r="O366" s="5">
        <v>23.291799999999999</v>
      </c>
      <c r="P366" s="5">
        <v>2484901.6108319997</v>
      </c>
      <c r="Q366" s="5">
        <v>66367.609199999992</v>
      </c>
      <c r="R366" s="5">
        <v>36379.282079999997</v>
      </c>
      <c r="S366" s="5">
        <v>29.463999999999995</v>
      </c>
      <c r="T366" s="5">
        <f t="shared" si="34"/>
        <v>1</v>
      </c>
      <c r="U366" s="5">
        <f t="shared" si="35"/>
        <v>1</v>
      </c>
      <c r="V366" s="5">
        <f t="shared" si="36"/>
        <v>1</v>
      </c>
      <c r="W366" s="5">
        <v>42.163999999999994</v>
      </c>
      <c r="X366" s="5">
        <v>0.79500000000000004</v>
      </c>
    </row>
    <row r="367" spans="1:24" x14ac:dyDescent="0.25">
      <c r="A367" s="5" t="s">
        <v>691</v>
      </c>
      <c r="B367" s="5">
        <v>22.620091887999997</v>
      </c>
      <c r="C367" s="5">
        <v>2864.5104000000001</v>
      </c>
      <c r="D367" s="6">
        <v>76.199999999999989</v>
      </c>
      <c r="E367" s="6">
        <v>63.5</v>
      </c>
      <c r="F367" s="5">
        <v>11.1252</v>
      </c>
      <c r="G367" s="5">
        <f t="shared" si="31"/>
        <v>1</v>
      </c>
      <c r="H367" s="6" t="str">
        <f t="shared" si="32"/>
        <v>LLBB</v>
      </c>
      <c r="I367" s="5">
        <v>24.688799999999997</v>
      </c>
      <c r="J367" s="5">
        <f t="shared" si="33"/>
        <v>0</v>
      </c>
      <c r="K367" s="5">
        <v>0.46300000000000002</v>
      </c>
      <c r="L367" s="5">
        <v>1556705.531744</v>
      </c>
      <c r="M367" s="5">
        <v>3.32</v>
      </c>
      <c r="N367" s="5">
        <v>1.84</v>
      </c>
      <c r="O367" s="5">
        <v>23.291799999999999</v>
      </c>
      <c r="P367" s="5">
        <v>3221631.2341439999</v>
      </c>
      <c r="Q367" s="5">
        <v>79968.872319999995</v>
      </c>
      <c r="R367" s="5">
        <v>44081.202159999993</v>
      </c>
      <c r="S367" s="5">
        <v>33.527999999999999</v>
      </c>
      <c r="T367" s="5">
        <f t="shared" si="34"/>
        <v>1</v>
      </c>
      <c r="U367" s="5">
        <f t="shared" si="35"/>
        <v>1</v>
      </c>
      <c r="V367" s="5">
        <f t="shared" si="36"/>
        <v>1</v>
      </c>
      <c r="W367" s="5">
        <v>44.957999999999998</v>
      </c>
      <c r="X367" s="5">
        <v>0.81899999999999995</v>
      </c>
    </row>
    <row r="368" spans="1:24" x14ac:dyDescent="0.25">
      <c r="A368" s="5" t="s">
        <v>692</v>
      </c>
      <c r="B368" s="5">
        <v>19.643764007999998</v>
      </c>
      <c r="C368" s="5">
        <v>2490.3175999999999</v>
      </c>
      <c r="D368" s="6">
        <v>76.199999999999989</v>
      </c>
      <c r="E368" s="6">
        <v>63.5</v>
      </c>
      <c r="F368" s="5">
        <v>9.5249999999999986</v>
      </c>
      <c r="G368" s="5">
        <f t="shared" si="31"/>
        <v>1</v>
      </c>
      <c r="H368" s="6" t="str">
        <f t="shared" si="32"/>
        <v>LLBB</v>
      </c>
      <c r="I368" s="5">
        <v>24.104599999999998</v>
      </c>
      <c r="J368" s="5">
        <f t="shared" si="33"/>
        <v>0</v>
      </c>
      <c r="K368" s="5">
        <v>0.42699999999999999</v>
      </c>
      <c r="L368" s="5">
        <v>1373563.7044799998</v>
      </c>
      <c r="M368" s="5">
        <v>2.9</v>
      </c>
      <c r="N368" s="5">
        <v>1.61</v>
      </c>
      <c r="O368" s="5">
        <v>23.4696</v>
      </c>
      <c r="P368" s="5">
        <v>1639951.8168639997</v>
      </c>
      <c r="Q368" s="5">
        <v>44408.943439999995</v>
      </c>
      <c r="R368" s="5">
        <v>25891.561119999998</v>
      </c>
      <c r="S368" s="5">
        <v>25.654</v>
      </c>
      <c r="T368" s="5">
        <f t="shared" si="34"/>
        <v>1</v>
      </c>
      <c r="U368" s="5">
        <f t="shared" si="35"/>
        <v>1</v>
      </c>
      <c r="V368" s="5">
        <f t="shared" si="36"/>
        <v>1</v>
      </c>
      <c r="W368" s="5">
        <v>39.878</v>
      </c>
      <c r="X368" s="5">
        <v>0.76400000000000001</v>
      </c>
    </row>
    <row r="369" spans="1:24" x14ac:dyDescent="0.25">
      <c r="A369" s="5" t="s">
        <v>693</v>
      </c>
      <c r="B369" s="5">
        <v>19.643764007999998</v>
      </c>
      <c r="C369" s="5">
        <v>2490.3175999999999</v>
      </c>
      <c r="D369" s="6">
        <v>76.199999999999989</v>
      </c>
      <c r="E369" s="6">
        <v>63.5</v>
      </c>
      <c r="F369" s="5">
        <v>9.5249999999999986</v>
      </c>
      <c r="G369" s="5">
        <f t="shared" si="31"/>
        <v>1</v>
      </c>
      <c r="H369" s="6" t="str">
        <f t="shared" si="32"/>
        <v>LLBB</v>
      </c>
      <c r="I369" s="5">
        <v>24.104599999999998</v>
      </c>
      <c r="J369" s="5">
        <f t="shared" si="33"/>
        <v>0</v>
      </c>
      <c r="K369" s="5">
        <v>0.42699999999999999</v>
      </c>
      <c r="L369" s="5">
        <v>1373563.7044799998</v>
      </c>
      <c r="M369" s="5">
        <v>2.9</v>
      </c>
      <c r="N369" s="5">
        <v>1.61</v>
      </c>
      <c r="O369" s="5">
        <v>23.4696</v>
      </c>
      <c r="P369" s="5">
        <v>2122780.2705599996</v>
      </c>
      <c r="Q369" s="5">
        <v>56207.629519999995</v>
      </c>
      <c r="R369" s="5">
        <v>31135.421599999994</v>
      </c>
      <c r="S369" s="5">
        <v>29.209999999999997</v>
      </c>
      <c r="T369" s="5">
        <f t="shared" si="34"/>
        <v>1</v>
      </c>
      <c r="U369" s="5">
        <f t="shared" si="35"/>
        <v>1</v>
      </c>
      <c r="V369" s="5">
        <f t="shared" si="36"/>
        <v>1</v>
      </c>
      <c r="W369" s="5">
        <v>42.163999999999994</v>
      </c>
      <c r="X369" s="5">
        <v>0.79</v>
      </c>
    </row>
    <row r="370" spans="1:24" x14ac:dyDescent="0.25">
      <c r="A370" s="5" t="s">
        <v>694</v>
      </c>
      <c r="B370" s="5">
        <v>19.643764007999998</v>
      </c>
      <c r="C370" s="5">
        <v>2490.3175999999999</v>
      </c>
      <c r="D370" s="6">
        <v>76.199999999999989</v>
      </c>
      <c r="E370" s="6">
        <v>63.5</v>
      </c>
      <c r="F370" s="5">
        <v>9.5249999999999986</v>
      </c>
      <c r="G370" s="5">
        <f t="shared" si="31"/>
        <v>1</v>
      </c>
      <c r="H370" s="6" t="str">
        <f t="shared" si="32"/>
        <v>LLBB</v>
      </c>
      <c r="I370" s="5">
        <v>24.104599999999998</v>
      </c>
      <c r="J370" s="5">
        <f t="shared" si="33"/>
        <v>0</v>
      </c>
      <c r="K370" s="5">
        <v>0.42699999999999999</v>
      </c>
      <c r="L370" s="5">
        <v>1373563.7044799998</v>
      </c>
      <c r="M370" s="5">
        <v>2.9</v>
      </c>
      <c r="N370" s="5">
        <v>1.61</v>
      </c>
      <c r="O370" s="5">
        <v>23.4696</v>
      </c>
      <c r="P370" s="5">
        <v>2713828.8949119993</v>
      </c>
      <c r="Q370" s="5">
        <v>68006.315600000002</v>
      </c>
      <c r="R370" s="5">
        <v>37198.635279999995</v>
      </c>
      <c r="S370" s="5">
        <v>33.019999999999996</v>
      </c>
      <c r="T370" s="5">
        <f t="shared" si="34"/>
        <v>1</v>
      </c>
      <c r="U370" s="5">
        <f t="shared" si="35"/>
        <v>1</v>
      </c>
      <c r="V370" s="5">
        <f t="shared" si="36"/>
        <v>1</v>
      </c>
      <c r="W370" s="5">
        <v>44.957999999999998</v>
      </c>
      <c r="X370" s="5">
        <v>0.81499999999999995</v>
      </c>
    </row>
    <row r="371" spans="1:24" x14ac:dyDescent="0.25">
      <c r="A371" s="5" t="s">
        <v>695</v>
      </c>
      <c r="B371" s="5">
        <v>16.667436127999999</v>
      </c>
      <c r="C371" s="5">
        <v>2103.2215999999999</v>
      </c>
      <c r="D371" s="6">
        <v>76.199999999999989</v>
      </c>
      <c r="E371" s="6">
        <v>63.5</v>
      </c>
      <c r="F371" s="5">
        <v>7.9501999999999997</v>
      </c>
      <c r="G371" s="5">
        <f t="shared" si="31"/>
        <v>1</v>
      </c>
      <c r="H371" s="6" t="str">
        <f t="shared" si="32"/>
        <v>LLBB</v>
      </c>
      <c r="I371" s="5">
        <v>23.495000000000001</v>
      </c>
      <c r="J371" s="5">
        <f t="shared" si="33"/>
        <v>0</v>
      </c>
      <c r="K371" s="5">
        <v>0.39200000000000002</v>
      </c>
      <c r="L371" s="5">
        <v>1173772.6201919997</v>
      </c>
      <c r="M371" s="5">
        <v>2.46</v>
      </c>
      <c r="N371" s="5">
        <v>1.36</v>
      </c>
      <c r="O371" s="5">
        <v>23.672799999999999</v>
      </c>
      <c r="P371" s="5">
        <v>1356914.4474559997</v>
      </c>
      <c r="Q371" s="5">
        <v>36215.411439999996</v>
      </c>
      <c r="R371" s="5">
        <v>21303.183199999999</v>
      </c>
      <c r="S371" s="5">
        <v>25.4</v>
      </c>
      <c r="T371" s="5">
        <f t="shared" si="34"/>
        <v>1</v>
      </c>
      <c r="U371" s="5">
        <f t="shared" si="35"/>
        <v>1</v>
      </c>
      <c r="V371" s="5">
        <f t="shared" si="36"/>
        <v>1</v>
      </c>
      <c r="W371" s="5">
        <v>39.878</v>
      </c>
      <c r="X371" s="5">
        <v>0.76</v>
      </c>
    </row>
    <row r="372" spans="1:24" x14ac:dyDescent="0.25">
      <c r="A372" s="5" t="s">
        <v>696</v>
      </c>
      <c r="B372" s="5">
        <v>16.667436127999999</v>
      </c>
      <c r="C372" s="5">
        <v>2103.2215999999999</v>
      </c>
      <c r="D372" s="6">
        <v>76.199999999999989</v>
      </c>
      <c r="E372" s="6">
        <v>63.5</v>
      </c>
      <c r="F372" s="5">
        <v>7.9501999999999997</v>
      </c>
      <c r="G372" s="5">
        <f t="shared" si="31"/>
        <v>1</v>
      </c>
      <c r="H372" s="6" t="str">
        <f t="shared" si="32"/>
        <v>LLBB</v>
      </c>
      <c r="I372" s="5">
        <v>23.495000000000001</v>
      </c>
      <c r="J372" s="5">
        <f t="shared" si="33"/>
        <v>0</v>
      </c>
      <c r="K372" s="5">
        <v>0.39200000000000002</v>
      </c>
      <c r="L372" s="5">
        <v>1173772.6201919997</v>
      </c>
      <c r="M372" s="5">
        <v>2.46</v>
      </c>
      <c r="N372" s="5">
        <v>1.36</v>
      </c>
      <c r="O372" s="5">
        <v>23.672799999999999</v>
      </c>
      <c r="P372" s="5">
        <v>1764821.2445439999</v>
      </c>
      <c r="Q372" s="5">
        <v>46211.520479999992</v>
      </c>
      <c r="R372" s="5">
        <v>25891.561119999998</v>
      </c>
      <c r="S372" s="5">
        <v>28.955999999999996</v>
      </c>
      <c r="T372" s="5">
        <f t="shared" si="34"/>
        <v>1</v>
      </c>
      <c r="U372" s="5">
        <f t="shared" si="35"/>
        <v>1</v>
      </c>
      <c r="V372" s="5">
        <f t="shared" si="36"/>
        <v>1</v>
      </c>
      <c r="W372" s="5">
        <v>42.163999999999994</v>
      </c>
      <c r="X372" s="5">
        <v>0.78500000000000003</v>
      </c>
    </row>
    <row r="373" spans="1:24" x14ac:dyDescent="0.25">
      <c r="A373" s="5" t="s">
        <v>697</v>
      </c>
      <c r="B373" s="5">
        <v>16.667436127999999</v>
      </c>
      <c r="C373" s="5">
        <v>2103.2215999999999</v>
      </c>
      <c r="D373" s="6">
        <v>76.199999999999989</v>
      </c>
      <c r="E373" s="6">
        <v>63.5</v>
      </c>
      <c r="F373" s="5">
        <v>7.9501999999999997</v>
      </c>
      <c r="G373" s="5">
        <f t="shared" si="31"/>
        <v>1</v>
      </c>
      <c r="H373" s="6" t="str">
        <f t="shared" si="32"/>
        <v>LLBB</v>
      </c>
      <c r="I373" s="5">
        <v>23.495000000000001</v>
      </c>
      <c r="J373" s="5">
        <f t="shared" si="33"/>
        <v>0</v>
      </c>
      <c r="K373" s="5">
        <v>0.39200000000000002</v>
      </c>
      <c r="L373" s="5">
        <v>1173772.6201919997</v>
      </c>
      <c r="M373" s="5">
        <v>2.46</v>
      </c>
      <c r="N373" s="5">
        <v>1.36</v>
      </c>
      <c r="O373" s="5">
        <v>23.672799999999999</v>
      </c>
      <c r="P373" s="5">
        <v>2255974.3267519996</v>
      </c>
      <c r="Q373" s="5">
        <v>56207.629519999995</v>
      </c>
      <c r="R373" s="5">
        <v>30971.550959999997</v>
      </c>
      <c r="S373" s="5">
        <v>32.765999999999998</v>
      </c>
      <c r="T373" s="5">
        <f t="shared" si="34"/>
        <v>1</v>
      </c>
      <c r="U373" s="5">
        <f t="shared" si="35"/>
        <v>1</v>
      </c>
      <c r="V373" s="5">
        <f t="shared" si="36"/>
        <v>1</v>
      </c>
      <c r="W373" s="5">
        <v>44.704000000000001</v>
      </c>
      <c r="X373" s="5">
        <v>0.81</v>
      </c>
    </row>
    <row r="374" spans="1:24" x14ac:dyDescent="0.25">
      <c r="A374" s="5" t="s">
        <v>698</v>
      </c>
      <c r="B374" s="5">
        <v>13.393475459999999</v>
      </c>
      <c r="C374" s="5">
        <v>1703.2224000000001</v>
      </c>
      <c r="D374" s="6">
        <v>76.199999999999989</v>
      </c>
      <c r="E374" s="6">
        <v>63.5</v>
      </c>
      <c r="F374" s="5">
        <v>6.35</v>
      </c>
      <c r="G374" s="5">
        <f t="shared" si="31"/>
        <v>1</v>
      </c>
      <c r="H374" s="6" t="str">
        <f t="shared" si="32"/>
        <v>LLBB</v>
      </c>
      <c r="I374" s="5">
        <v>22.86</v>
      </c>
      <c r="J374" s="5">
        <f t="shared" si="33"/>
        <v>0</v>
      </c>
      <c r="K374" s="5">
        <v>0.36</v>
      </c>
      <c r="L374" s="5">
        <v>965656.90739199985</v>
      </c>
      <c r="M374" s="5">
        <v>2</v>
      </c>
      <c r="N374" s="5">
        <v>1.1100000000000001</v>
      </c>
      <c r="O374" s="5">
        <v>23.875999999999998</v>
      </c>
      <c r="P374" s="5">
        <v>1078039.3923039997</v>
      </c>
      <c r="Q374" s="5">
        <v>28185.750079999998</v>
      </c>
      <c r="R374" s="5">
        <v>17042.546559999999</v>
      </c>
      <c r="S374" s="5">
        <v>25.171399999999998</v>
      </c>
      <c r="T374" s="5">
        <f t="shared" si="34"/>
        <v>1</v>
      </c>
      <c r="U374" s="5">
        <f t="shared" si="35"/>
        <v>1</v>
      </c>
      <c r="V374" s="5">
        <f t="shared" si="36"/>
        <v>1</v>
      </c>
      <c r="W374" s="5">
        <v>39.878</v>
      </c>
      <c r="X374" s="5">
        <v>0.75600000000000001</v>
      </c>
    </row>
    <row r="375" spans="1:24" x14ac:dyDescent="0.25">
      <c r="A375" s="5" t="s">
        <v>699</v>
      </c>
      <c r="B375" s="5">
        <v>13.393475459999999</v>
      </c>
      <c r="C375" s="5">
        <v>1703.2224000000001</v>
      </c>
      <c r="D375" s="6">
        <v>76.199999999999989</v>
      </c>
      <c r="E375" s="6">
        <v>63.5</v>
      </c>
      <c r="F375" s="5">
        <v>6.35</v>
      </c>
      <c r="G375" s="5">
        <f t="shared" si="31"/>
        <v>1</v>
      </c>
      <c r="H375" s="6" t="str">
        <f t="shared" si="32"/>
        <v>LLBB</v>
      </c>
      <c r="I375" s="5">
        <v>22.86</v>
      </c>
      <c r="J375" s="5">
        <f t="shared" si="33"/>
        <v>0</v>
      </c>
      <c r="K375" s="5">
        <v>0.36</v>
      </c>
      <c r="L375" s="5">
        <v>965656.90739199985</v>
      </c>
      <c r="M375" s="5">
        <v>2</v>
      </c>
      <c r="N375" s="5">
        <v>1.1100000000000001</v>
      </c>
      <c r="O375" s="5">
        <v>23.875999999999998</v>
      </c>
      <c r="P375" s="5">
        <v>1377726.0187359999</v>
      </c>
      <c r="Q375" s="5">
        <v>36379.282079999997</v>
      </c>
      <c r="R375" s="5">
        <v>20156.088719999996</v>
      </c>
      <c r="S375" s="5">
        <v>28.448</v>
      </c>
      <c r="T375" s="5">
        <f t="shared" si="34"/>
        <v>1</v>
      </c>
      <c r="U375" s="5">
        <f t="shared" si="35"/>
        <v>1</v>
      </c>
      <c r="V375" s="5">
        <f t="shared" si="36"/>
        <v>1</v>
      </c>
      <c r="W375" s="5">
        <v>42.163999999999994</v>
      </c>
      <c r="X375" s="5">
        <v>0.78100000000000003</v>
      </c>
    </row>
    <row r="376" spans="1:24" x14ac:dyDescent="0.25">
      <c r="A376" s="5" t="s">
        <v>700</v>
      </c>
      <c r="B376" s="5">
        <v>13.393475459999999</v>
      </c>
      <c r="C376" s="5">
        <v>1703.2224000000001</v>
      </c>
      <c r="D376" s="6">
        <v>76.199999999999989</v>
      </c>
      <c r="E376" s="6">
        <v>63.5</v>
      </c>
      <c r="F376" s="5">
        <v>6.35</v>
      </c>
      <c r="G376" s="5">
        <f t="shared" si="31"/>
        <v>1</v>
      </c>
      <c r="H376" s="6" t="str">
        <f t="shared" si="32"/>
        <v>LLBB</v>
      </c>
      <c r="I376" s="5">
        <v>22.86</v>
      </c>
      <c r="J376" s="5">
        <f t="shared" si="33"/>
        <v>0</v>
      </c>
      <c r="K376" s="5">
        <v>0.36</v>
      </c>
      <c r="L376" s="5">
        <v>965656.90739199985</v>
      </c>
      <c r="M376" s="5">
        <v>2</v>
      </c>
      <c r="N376" s="5">
        <v>1.1100000000000001</v>
      </c>
      <c r="O376" s="5">
        <v>23.875999999999998</v>
      </c>
      <c r="P376" s="5">
        <v>1773145.8730559996</v>
      </c>
      <c r="Q376" s="5">
        <v>44408.943439999995</v>
      </c>
      <c r="R376" s="5">
        <v>24252.854719999996</v>
      </c>
      <c r="S376" s="5">
        <v>32.257999999999996</v>
      </c>
      <c r="T376" s="5">
        <f t="shared" si="34"/>
        <v>1</v>
      </c>
      <c r="U376" s="5">
        <f t="shared" si="35"/>
        <v>1</v>
      </c>
      <c r="V376" s="5">
        <f t="shared" si="36"/>
        <v>1</v>
      </c>
      <c r="W376" s="5">
        <v>44.704000000000001</v>
      </c>
      <c r="X376" s="5">
        <v>0.80600000000000005</v>
      </c>
    </row>
    <row r="377" spans="1:24" x14ac:dyDescent="0.25">
      <c r="A377" s="5" t="s">
        <v>701</v>
      </c>
      <c r="B377" s="5">
        <v>10.0897515132</v>
      </c>
      <c r="C377" s="5">
        <v>1290.32</v>
      </c>
      <c r="D377" s="6">
        <v>76.199999999999989</v>
      </c>
      <c r="E377" s="6">
        <v>63.5</v>
      </c>
      <c r="F377" s="5">
        <v>4.7751999999999999</v>
      </c>
      <c r="G377" s="5">
        <f t="shared" si="31"/>
        <v>1</v>
      </c>
      <c r="H377" s="6" t="str">
        <f t="shared" si="32"/>
        <v>LLBB</v>
      </c>
      <c r="I377" s="5">
        <v>22.1996</v>
      </c>
      <c r="J377" s="5">
        <f t="shared" si="33"/>
        <v>0</v>
      </c>
      <c r="K377" s="5">
        <v>0.33300000000000002</v>
      </c>
      <c r="L377" s="5">
        <v>749216.5660799999</v>
      </c>
      <c r="M377" s="5">
        <v>1.52</v>
      </c>
      <c r="N377" s="5">
        <v>0.84599999999999997</v>
      </c>
      <c r="O377" s="5">
        <v>24.053799999999999</v>
      </c>
      <c r="P377" s="5">
        <v>799164.33715199993</v>
      </c>
      <c r="Q377" s="5">
        <v>20483.829999999998</v>
      </c>
      <c r="R377" s="5">
        <v>12585.265152</v>
      </c>
      <c r="S377" s="5">
        <v>24.891999999999999</v>
      </c>
      <c r="T377" s="5">
        <f t="shared" si="34"/>
        <v>1</v>
      </c>
      <c r="U377" s="5">
        <f t="shared" si="35"/>
        <v>1</v>
      </c>
      <c r="V377" s="5">
        <f t="shared" si="36"/>
        <v>1</v>
      </c>
      <c r="W377" s="5">
        <v>39.878</v>
      </c>
      <c r="X377" s="5">
        <v>0.753</v>
      </c>
    </row>
    <row r="378" spans="1:24" x14ac:dyDescent="0.25">
      <c r="A378" s="5" t="s">
        <v>702</v>
      </c>
      <c r="B378" s="5">
        <v>10.0897515132</v>
      </c>
      <c r="C378" s="5">
        <v>1290.32</v>
      </c>
      <c r="D378" s="6">
        <v>76.199999999999989</v>
      </c>
      <c r="E378" s="6">
        <v>63.5</v>
      </c>
      <c r="F378" s="5">
        <v>4.7751999999999999</v>
      </c>
      <c r="G378" s="5">
        <f t="shared" si="31"/>
        <v>1</v>
      </c>
      <c r="H378" s="6" t="str">
        <f t="shared" si="32"/>
        <v>LLBB</v>
      </c>
      <c r="I378" s="5">
        <v>22.1996</v>
      </c>
      <c r="J378" s="5">
        <f t="shared" si="33"/>
        <v>0</v>
      </c>
      <c r="K378" s="5">
        <v>0.33300000000000002</v>
      </c>
      <c r="L378" s="5">
        <v>749216.5660799999</v>
      </c>
      <c r="M378" s="5">
        <v>1.52</v>
      </c>
      <c r="N378" s="5">
        <v>0.84599999999999997</v>
      </c>
      <c r="O378" s="5">
        <v>24.053799999999999</v>
      </c>
      <c r="P378" s="5">
        <v>1023929.3069759998</v>
      </c>
      <c r="Q378" s="5">
        <v>26710.914319999996</v>
      </c>
      <c r="R378" s="5">
        <v>14994.163559999999</v>
      </c>
      <c r="S378" s="5">
        <v>28.194000000000003</v>
      </c>
      <c r="T378" s="5">
        <f t="shared" si="34"/>
        <v>1</v>
      </c>
      <c r="U378" s="5">
        <f t="shared" si="35"/>
        <v>1</v>
      </c>
      <c r="V378" s="5">
        <f t="shared" si="36"/>
        <v>1</v>
      </c>
      <c r="W378" s="5">
        <v>41.91</v>
      </c>
      <c r="X378" s="5">
        <v>0.77800000000000002</v>
      </c>
    </row>
    <row r="379" spans="1:24" x14ac:dyDescent="0.25">
      <c r="A379" s="5" t="s">
        <v>703</v>
      </c>
      <c r="B379" s="5">
        <v>10.0897515132</v>
      </c>
      <c r="C379" s="5">
        <v>1290.32</v>
      </c>
      <c r="D379" s="6">
        <v>76.199999999999989</v>
      </c>
      <c r="E379" s="6">
        <v>63.5</v>
      </c>
      <c r="F379" s="5">
        <v>4.7751999999999999</v>
      </c>
      <c r="G379" s="5">
        <f t="shared" si="31"/>
        <v>1</v>
      </c>
      <c r="H379" s="6" t="str">
        <f t="shared" si="32"/>
        <v>LLBB</v>
      </c>
      <c r="I379" s="5">
        <v>22.1996</v>
      </c>
      <c r="J379" s="5">
        <f t="shared" si="33"/>
        <v>0</v>
      </c>
      <c r="K379" s="5">
        <v>0.33300000000000002</v>
      </c>
      <c r="L379" s="5">
        <v>749216.5660799999</v>
      </c>
      <c r="M379" s="5">
        <v>1.52</v>
      </c>
      <c r="N379" s="5">
        <v>0.84599999999999997</v>
      </c>
      <c r="O379" s="5">
        <v>24.053799999999999</v>
      </c>
      <c r="P379" s="5">
        <v>1302804.3621279998</v>
      </c>
      <c r="Q379" s="5">
        <v>32774.127999999997</v>
      </c>
      <c r="R379" s="5">
        <v>17861.89976</v>
      </c>
      <c r="S379" s="5">
        <v>31.75</v>
      </c>
      <c r="T379" s="5">
        <f t="shared" si="34"/>
        <v>1</v>
      </c>
      <c r="U379" s="5">
        <f t="shared" si="35"/>
        <v>1</v>
      </c>
      <c r="V379" s="5">
        <f t="shared" si="36"/>
        <v>1</v>
      </c>
      <c r="W379" s="5">
        <v>44.449999999999996</v>
      </c>
      <c r="X379" s="5">
        <v>0.80200000000000005</v>
      </c>
    </row>
    <row r="380" spans="1:24" x14ac:dyDescent="0.25">
      <c r="A380" s="5" t="s">
        <v>704</v>
      </c>
      <c r="B380" s="5">
        <v>22.917724675999999</v>
      </c>
      <c r="C380" s="5">
        <v>2916.1231999999995</v>
      </c>
      <c r="D380" s="6">
        <v>76.199999999999989</v>
      </c>
      <c r="E380" s="6">
        <v>50.8</v>
      </c>
      <c r="F380" s="5">
        <v>12.7</v>
      </c>
      <c r="G380" s="5">
        <f t="shared" si="31"/>
        <v>1</v>
      </c>
      <c r="H380" s="6" t="str">
        <f t="shared" si="32"/>
        <v>LLBB</v>
      </c>
      <c r="I380" s="5">
        <v>27.431999999999999</v>
      </c>
      <c r="J380" s="5">
        <f t="shared" si="33"/>
        <v>0</v>
      </c>
      <c r="K380" s="5">
        <v>0.74</v>
      </c>
      <c r="L380" s="5">
        <v>1598328.6743039999</v>
      </c>
      <c r="M380" s="5">
        <v>3.56</v>
      </c>
      <c r="N380" s="5">
        <v>2</v>
      </c>
      <c r="O380" s="5">
        <v>23.418800000000001</v>
      </c>
      <c r="P380" s="5">
        <v>1190421.8772159999</v>
      </c>
      <c r="Q380" s="5">
        <v>42934.107680000001</v>
      </c>
      <c r="R380" s="5">
        <v>23433.501519999998</v>
      </c>
      <c r="S380" s="5">
        <v>20.193000000000001</v>
      </c>
      <c r="T380" s="5">
        <f t="shared" si="34"/>
        <v>1</v>
      </c>
      <c r="U380" s="5">
        <f t="shared" si="35"/>
        <v>1</v>
      </c>
      <c r="V380" s="5">
        <f t="shared" si="36"/>
        <v>1</v>
      </c>
      <c r="W380" s="5">
        <v>37.337999999999994</v>
      </c>
      <c r="X380" s="5">
        <v>0.68400000000000005</v>
      </c>
    </row>
    <row r="381" spans="1:24" x14ac:dyDescent="0.25">
      <c r="A381" s="5" t="s">
        <v>705</v>
      </c>
      <c r="B381" s="5">
        <v>22.917724675999999</v>
      </c>
      <c r="C381" s="5">
        <v>2916.1231999999995</v>
      </c>
      <c r="D381" s="6">
        <v>76.199999999999989</v>
      </c>
      <c r="E381" s="6">
        <v>50.8</v>
      </c>
      <c r="F381" s="5">
        <v>12.7</v>
      </c>
      <c r="G381" s="5">
        <f t="shared" si="31"/>
        <v>1</v>
      </c>
      <c r="H381" s="6" t="str">
        <f t="shared" si="32"/>
        <v>LLBB</v>
      </c>
      <c r="I381" s="5">
        <v>27.431999999999999</v>
      </c>
      <c r="J381" s="5">
        <f t="shared" si="33"/>
        <v>0</v>
      </c>
      <c r="K381" s="5">
        <v>0.74</v>
      </c>
      <c r="L381" s="5">
        <v>1598328.6743039999</v>
      </c>
      <c r="M381" s="5">
        <v>3.56</v>
      </c>
      <c r="N381" s="5">
        <v>2</v>
      </c>
      <c r="O381" s="5">
        <v>23.418800000000001</v>
      </c>
      <c r="P381" s="5">
        <v>1660763.388144</v>
      </c>
      <c r="Q381" s="5">
        <v>56863.112079999999</v>
      </c>
      <c r="R381" s="5">
        <v>29824.456479999997</v>
      </c>
      <c r="S381" s="5">
        <v>23.875999999999998</v>
      </c>
      <c r="T381" s="5">
        <f t="shared" si="34"/>
        <v>1</v>
      </c>
      <c r="U381" s="5">
        <f t="shared" si="35"/>
        <v>1</v>
      </c>
      <c r="V381" s="5">
        <f t="shared" si="36"/>
        <v>1</v>
      </c>
      <c r="W381" s="5">
        <v>39.369999999999997</v>
      </c>
      <c r="X381" s="5">
        <v>0.71699999999999997</v>
      </c>
    </row>
    <row r="382" spans="1:24" x14ac:dyDescent="0.25">
      <c r="A382" s="5" t="s">
        <v>706</v>
      </c>
      <c r="B382" s="5">
        <v>22.917724675999999</v>
      </c>
      <c r="C382" s="5">
        <v>2916.1231999999995</v>
      </c>
      <c r="D382" s="6">
        <v>76.199999999999989</v>
      </c>
      <c r="E382" s="6">
        <v>50.8</v>
      </c>
      <c r="F382" s="5">
        <v>12.7</v>
      </c>
      <c r="G382" s="5">
        <f t="shared" si="31"/>
        <v>1</v>
      </c>
      <c r="H382" s="6" t="str">
        <f t="shared" si="32"/>
        <v>LLBB</v>
      </c>
      <c r="I382" s="5">
        <v>27.431999999999999</v>
      </c>
      <c r="J382" s="5">
        <f t="shared" si="33"/>
        <v>0</v>
      </c>
      <c r="K382" s="5">
        <v>0.74</v>
      </c>
      <c r="L382" s="5">
        <v>1598328.6743039999</v>
      </c>
      <c r="M382" s="5">
        <v>3.56</v>
      </c>
      <c r="N382" s="5">
        <v>2</v>
      </c>
      <c r="O382" s="5">
        <v>23.418800000000001</v>
      </c>
      <c r="P382" s="5">
        <v>2276785.8980319998</v>
      </c>
      <c r="Q382" s="5">
        <v>70792.116479999997</v>
      </c>
      <c r="R382" s="5">
        <v>37690.247199999991</v>
      </c>
      <c r="S382" s="5">
        <v>27.94</v>
      </c>
      <c r="T382" s="5">
        <f t="shared" si="34"/>
        <v>1</v>
      </c>
      <c r="U382" s="5">
        <f t="shared" si="35"/>
        <v>1</v>
      </c>
      <c r="V382" s="5">
        <f t="shared" si="36"/>
        <v>1</v>
      </c>
      <c r="W382" s="5">
        <v>42.163999999999994</v>
      </c>
      <c r="X382" s="5">
        <v>0.751</v>
      </c>
    </row>
    <row r="383" spans="1:24" x14ac:dyDescent="0.25">
      <c r="A383" s="5" t="s">
        <v>707</v>
      </c>
      <c r="B383" s="5">
        <v>17.560334491999999</v>
      </c>
      <c r="C383" s="5">
        <v>2258.06</v>
      </c>
      <c r="D383" s="6">
        <v>76.199999999999989</v>
      </c>
      <c r="E383" s="6">
        <v>50.8</v>
      </c>
      <c r="F383" s="5">
        <v>9.5249999999999986</v>
      </c>
      <c r="G383" s="5">
        <f t="shared" si="31"/>
        <v>1</v>
      </c>
      <c r="H383" s="6" t="str">
        <f t="shared" si="32"/>
        <v>LLBB</v>
      </c>
      <c r="I383" s="5">
        <v>26.161999999999999</v>
      </c>
      <c r="J383" s="5">
        <f t="shared" si="33"/>
        <v>0</v>
      </c>
      <c r="K383" s="5">
        <v>0.66700000000000004</v>
      </c>
      <c r="L383" s="5">
        <v>1281992.790848</v>
      </c>
      <c r="M383" s="5">
        <v>2.78</v>
      </c>
      <c r="N383" s="5">
        <v>1.56</v>
      </c>
      <c r="O383" s="5">
        <v>23.799800000000001</v>
      </c>
      <c r="P383" s="5">
        <v>865761.3652479999</v>
      </c>
      <c r="Q383" s="5">
        <v>30643.809679999998</v>
      </c>
      <c r="R383" s="5">
        <v>17042.546559999999</v>
      </c>
      <c r="S383" s="5">
        <v>19.583400000000001</v>
      </c>
      <c r="T383" s="5">
        <f t="shared" si="34"/>
        <v>1</v>
      </c>
      <c r="U383" s="5">
        <f t="shared" si="35"/>
        <v>1</v>
      </c>
      <c r="V383" s="5">
        <f t="shared" si="36"/>
        <v>1</v>
      </c>
      <c r="W383" s="5">
        <v>37.591999999999999</v>
      </c>
      <c r="X383" s="5">
        <v>0.67500000000000004</v>
      </c>
    </row>
    <row r="384" spans="1:24" x14ac:dyDescent="0.25">
      <c r="A384" s="5" t="s">
        <v>708</v>
      </c>
      <c r="B384" s="5">
        <v>17.560334491999999</v>
      </c>
      <c r="C384" s="5">
        <v>2258.06</v>
      </c>
      <c r="D384" s="6">
        <v>76.199999999999989</v>
      </c>
      <c r="E384" s="6">
        <v>50.8</v>
      </c>
      <c r="F384" s="5">
        <v>9.5249999999999986</v>
      </c>
      <c r="G384" s="5">
        <f t="shared" si="31"/>
        <v>1</v>
      </c>
      <c r="H384" s="6" t="str">
        <f t="shared" si="32"/>
        <v>LLBB</v>
      </c>
      <c r="I384" s="5">
        <v>26.161999999999999</v>
      </c>
      <c r="J384" s="5">
        <f t="shared" si="33"/>
        <v>0</v>
      </c>
      <c r="K384" s="5">
        <v>0.66700000000000004</v>
      </c>
      <c r="L384" s="5">
        <v>1281992.790848</v>
      </c>
      <c r="M384" s="5">
        <v>2.78</v>
      </c>
      <c r="N384" s="5">
        <v>1.56</v>
      </c>
      <c r="O384" s="5">
        <v>23.799800000000001</v>
      </c>
      <c r="P384" s="5">
        <v>1207071.1342399998</v>
      </c>
      <c r="Q384" s="5">
        <v>41459.271919999992</v>
      </c>
      <c r="R384" s="5">
        <v>21794.795119999999</v>
      </c>
      <c r="S384" s="5">
        <v>23.139399999999998</v>
      </c>
      <c r="T384" s="5">
        <f t="shared" si="34"/>
        <v>1</v>
      </c>
      <c r="U384" s="5">
        <f t="shared" si="35"/>
        <v>1</v>
      </c>
      <c r="V384" s="5">
        <f t="shared" si="36"/>
        <v>1</v>
      </c>
      <c r="W384" s="5">
        <v>39.369999999999997</v>
      </c>
      <c r="X384" s="5">
        <v>0.70699999999999996</v>
      </c>
    </row>
    <row r="385" spans="1:24" x14ac:dyDescent="0.25">
      <c r="A385" s="5" t="s">
        <v>709</v>
      </c>
      <c r="B385" s="5">
        <v>17.560334491999999</v>
      </c>
      <c r="C385" s="5">
        <v>2258.06</v>
      </c>
      <c r="D385" s="6">
        <v>76.199999999999989</v>
      </c>
      <c r="E385" s="6">
        <v>50.8</v>
      </c>
      <c r="F385" s="5">
        <v>9.5249999999999986</v>
      </c>
      <c r="G385" s="5">
        <f t="shared" si="31"/>
        <v>1</v>
      </c>
      <c r="H385" s="6" t="str">
        <f t="shared" si="32"/>
        <v>LLBB</v>
      </c>
      <c r="I385" s="5">
        <v>26.161999999999999</v>
      </c>
      <c r="J385" s="5">
        <f t="shared" si="33"/>
        <v>0</v>
      </c>
      <c r="K385" s="5">
        <v>0.66700000000000004</v>
      </c>
      <c r="L385" s="5">
        <v>1281992.790848</v>
      </c>
      <c r="M385" s="5">
        <v>2.78</v>
      </c>
      <c r="N385" s="5">
        <v>1.56</v>
      </c>
      <c r="O385" s="5">
        <v>23.799800000000001</v>
      </c>
      <c r="P385" s="5">
        <v>1669088.0166559997</v>
      </c>
      <c r="Q385" s="5">
        <v>52110.863519999999</v>
      </c>
      <c r="R385" s="5">
        <v>27694.138159999995</v>
      </c>
      <c r="S385" s="5">
        <v>27.178000000000001</v>
      </c>
      <c r="T385" s="5">
        <f t="shared" si="34"/>
        <v>1</v>
      </c>
      <c r="U385" s="5">
        <f t="shared" si="35"/>
        <v>1</v>
      </c>
      <c r="V385" s="5">
        <f t="shared" si="36"/>
        <v>1</v>
      </c>
      <c r="W385" s="5">
        <v>41.91</v>
      </c>
      <c r="X385" s="5">
        <v>0.73899999999999999</v>
      </c>
    </row>
    <row r="386" spans="1:24" x14ac:dyDescent="0.25">
      <c r="A386" s="5" t="s">
        <v>710</v>
      </c>
      <c r="B386" s="5">
        <v>14.881639399999999</v>
      </c>
      <c r="C386" s="5">
        <v>1909.6735999999999</v>
      </c>
      <c r="D386" s="6">
        <v>76.199999999999989</v>
      </c>
      <c r="E386" s="6">
        <v>50.8</v>
      </c>
      <c r="F386" s="5">
        <v>7.9501999999999997</v>
      </c>
      <c r="G386" s="5">
        <f t="shared" si="31"/>
        <v>1</v>
      </c>
      <c r="H386" s="6" t="str">
        <f t="shared" si="32"/>
        <v>LLBB</v>
      </c>
      <c r="I386" s="5">
        <v>25.654</v>
      </c>
      <c r="J386" s="5">
        <f t="shared" si="33"/>
        <v>0</v>
      </c>
      <c r="K386" s="5">
        <v>0.63200000000000001</v>
      </c>
      <c r="L386" s="5">
        <v>1098850.963584</v>
      </c>
      <c r="M386" s="5">
        <v>2.38</v>
      </c>
      <c r="N386" s="5">
        <v>1.32</v>
      </c>
      <c r="O386" s="5">
        <v>24.002999999999997</v>
      </c>
      <c r="P386" s="5">
        <v>711755.73777599994</v>
      </c>
      <c r="Q386" s="5">
        <v>24744.466639999999</v>
      </c>
      <c r="R386" s="5">
        <v>14010.939719999998</v>
      </c>
      <c r="S386" s="5">
        <v>19.303999999999998</v>
      </c>
      <c r="T386" s="5">
        <f t="shared" si="34"/>
        <v>1</v>
      </c>
      <c r="U386" s="5">
        <f t="shared" si="35"/>
        <v>1</v>
      </c>
      <c r="V386" s="5">
        <f t="shared" si="36"/>
        <v>1</v>
      </c>
      <c r="W386" s="5">
        <v>37.591999999999999</v>
      </c>
      <c r="X386" s="5">
        <v>0.67100000000000004</v>
      </c>
    </row>
    <row r="387" spans="1:24" x14ac:dyDescent="0.25">
      <c r="A387" s="5" t="s">
        <v>711</v>
      </c>
      <c r="B387" s="5">
        <v>14.881639399999999</v>
      </c>
      <c r="C387" s="5">
        <v>1909.6735999999999</v>
      </c>
      <c r="D387" s="6">
        <v>76.199999999999989</v>
      </c>
      <c r="E387" s="6">
        <v>50.8</v>
      </c>
      <c r="F387" s="5">
        <v>7.9501999999999997</v>
      </c>
      <c r="G387" s="5">
        <f t="shared" si="31"/>
        <v>1</v>
      </c>
      <c r="H387" s="6" t="str">
        <f t="shared" si="32"/>
        <v>LLBB</v>
      </c>
      <c r="I387" s="5">
        <v>25.654</v>
      </c>
      <c r="J387" s="5">
        <f t="shared" si="33"/>
        <v>0</v>
      </c>
      <c r="K387" s="5">
        <v>0.63200000000000001</v>
      </c>
      <c r="L387" s="5">
        <v>1098850.963584</v>
      </c>
      <c r="M387" s="5">
        <v>2.38</v>
      </c>
      <c r="N387" s="5">
        <v>1.32</v>
      </c>
      <c r="O387" s="5">
        <v>24.002999999999997</v>
      </c>
      <c r="P387" s="5">
        <v>990630.79292799986</v>
      </c>
      <c r="Q387" s="5">
        <v>33921.222479999997</v>
      </c>
      <c r="R387" s="5">
        <v>17861.89976</v>
      </c>
      <c r="S387" s="5">
        <v>22.783799999999999</v>
      </c>
      <c r="T387" s="5">
        <f t="shared" si="34"/>
        <v>1</v>
      </c>
      <c r="U387" s="5">
        <f t="shared" si="35"/>
        <v>1</v>
      </c>
      <c r="V387" s="5">
        <f t="shared" si="36"/>
        <v>1</v>
      </c>
      <c r="W387" s="5">
        <v>39.624000000000002</v>
      </c>
      <c r="X387" s="5">
        <v>0.70199999999999996</v>
      </c>
    </row>
    <row r="388" spans="1:24" x14ac:dyDescent="0.25">
      <c r="A388" s="5" t="s">
        <v>712</v>
      </c>
      <c r="B388" s="5">
        <v>14.881639399999999</v>
      </c>
      <c r="C388" s="5">
        <v>1909.6735999999999</v>
      </c>
      <c r="D388" s="6">
        <v>76.199999999999989</v>
      </c>
      <c r="E388" s="6">
        <v>50.8</v>
      </c>
      <c r="F388" s="5">
        <v>7.9501999999999997</v>
      </c>
      <c r="G388" s="5">
        <f t="shared" ref="G388:G451" si="37">G387</f>
        <v>1</v>
      </c>
      <c r="H388" s="6" t="str">
        <f t="shared" ref="H388:H451" si="38">H387</f>
        <v>LLBB</v>
      </c>
      <c r="I388" s="5">
        <v>25.654</v>
      </c>
      <c r="J388" s="5">
        <f t="shared" ref="J388:J451" si="39">J387</f>
        <v>0</v>
      </c>
      <c r="K388" s="5">
        <v>0.63200000000000001</v>
      </c>
      <c r="L388" s="5">
        <v>1098850.963584</v>
      </c>
      <c r="M388" s="5">
        <v>2.38</v>
      </c>
      <c r="N388" s="5">
        <v>1.32</v>
      </c>
      <c r="O388" s="5">
        <v>24.002999999999997</v>
      </c>
      <c r="P388" s="5">
        <v>1356914.4474559997</v>
      </c>
      <c r="Q388" s="5">
        <v>42934.107680000001</v>
      </c>
      <c r="R388" s="5">
        <v>22450.277679999999</v>
      </c>
      <c r="S388" s="5">
        <v>26.669999999999998</v>
      </c>
      <c r="T388" s="5">
        <f t="shared" ref="T388:T451" si="40">T387</f>
        <v>1</v>
      </c>
      <c r="U388" s="5">
        <f t="shared" ref="U388:U451" si="41">U387</f>
        <v>1</v>
      </c>
      <c r="V388" s="5">
        <f t="shared" ref="V388:V451" si="42">V387</f>
        <v>1</v>
      </c>
      <c r="W388" s="5">
        <v>41.91</v>
      </c>
      <c r="X388" s="5">
        <v>0.73399999999999999</v>
      </c>
    </row>
    <row r="389" spans="1:24" x14ac:dyDescent="0.25">
      <c r="A389" s="5" t="s">
        <v>713</v>
      </c>
      <c r="B389" s="5">
        <v>12.202944307999999</v>
      </c>
      <c r="C389" s="5">
        <v>1548.3839999999998</v>
      </c>
      <c r="D389" s="6">
        <v>76.199999999999989</v>
      </c>
      <c r="E389" s="6">
        <v>50.8</v>
      </c>
      <c r="F389" s="5">
        <v>6.35</v>
      </c>
      <c r="G389" s="5">
        <f t="shared" si="37"/>
        <v>1</v>
      </c>
      <c r="H389" s="6" t="str">
        <f t="shared" si="38"/>
        <v>LLBB</v>
      </c>
      <c r="I389" s="5">
        <v>24.891999999999999</v>
      </c>
      <c r="J389" s="5">
        <f t="shared" si="39"/>
        <v>0</v>
      </c>
      <c r="K389" s="5">
        <v>0.6</v>
      </c>
      <c r="L389" s="5">
        <v>907384.50780799997</v>
      </c>
      <c r="M389" s="5">
        <v>1.94</v>
      </c>
      <c r="N389" s="5">
        <v>1.08</v>
      </c>
      <c r="O389" s="5">
        <v>24.206199999999999</v>
      </c>
      <c r="P389" s="5">
        <v>561912.42455999996</v>
      </c>
      <c r="Q389" s="5">
        <v>19172.864879999997</v>
      </c>
      <c r="R389" s="5">
        <v>11061.2682</v>
      </c>
      <c r="S389" s="5">
        <v>19.0246</v>
      </c>
      <c r="T389" s="5">
        <f t="shared" si="40"/>
        <v>1</v>
      </c>
      <c r="U389" s="5">
        <f t="shared" si="41"/>
        <v>1</v>
      </c>
      <c r="V389" s="5">
        <f t="shared" si="42"/>
        <v>1</v>
      </c>
      <c r="W389" s="5">
        <v>37.591999999999999</v>
      </c>
      <c r="X389" s="5">
        <v>0.66800000000000004</v>
      </c>
    </row>
    <row r="390" spans="1:24" x14ac:dyDescent="0.25">
      <c r="A390" s="5" t="s">
        <v>714</v>
      </c>
      <c r="B390" s="5">
        <v>12.202944307999999</v>
      </c>
      <c r="C390" s="5">
        <v>1548.3839999999998</v>
      </c>
      <c r="D390" s="6">
        <v>76.199999999999989</v>
      </c>
      <c r="E390" s="6">
        <v>50.8</v>
      </c>
      <c r="F390" s="5">
        <v>6.35</v>
      </c>
      <c r="G390" s="5">
        <f t="shared" si="37"/>
        <v>1</v>
      </c>
      <c r="H390" s="6" t="str">
        <f t="shared" si="38"/>
        <v>LLBB</v>
      </c>
      <c r="I390" s="5">
        <v>24.891999999999999</v>
      </c>
      <c r="J390" s="5">
        <f t="shared" si="39"/>
        <v>0</v>
      </c>
      <c r="K390" s="5">
        <v>0.6</v>
      </c>
      <c r="L390" s="5">
        <v>907384.50780799997</v>
      </c>
      <c r="M390" s="5">
        <v>1.94</v>
      </c>
      <c r="N390" s="5">
        <v>1.08</v>
      </c>
      <c r="O390" s="5">
        <v>24.206199999999999</v>
      </c>
      <c r="P390" s="5">
        <v>778352.76587200002</v>
      </c>
      <c r="Q390" s="5">
        <v>26547.043679999999</v>
      </c>
      <c r="R390" s="5">
        <v>14010.939719999998</v>
      </c>
      <c r="S390" s="5">
        <v>22.4282</v>
      </c>
      <c r="T390" s="5">
        <f t="shared" si="40"/>
        <v>1</v>
      </c>
      <c r="U390" s="5">
        <f t="shared" si="41"/>
        <v>1</v>
      </c>
      <c r="V390" s="5">
        <f t="shared" si="42"/>
        <v>1</v>
      </c>
      <c r="W390" s="5">
        <v>39.624000000000002</v>
      </c>
      <c r="X390" s="5">
        <v>0.69799999999999995</v>
      </c>
    </row>
    <row r="391" spans="1:24" x14ac:dyDescent="0.25">
      <c r="A391" s="5" t="s">
        <v>715</v>
      </c>
      <c r="B391" s="5">
        <v>12.202944307999999</v>
      </c>
      <c r="C391" s="5">
        <v>1548.3839999999998</v>
      </c>
      <c r="D391" s="6">
        <v>76.199999999999989</v>
      </c>
      <c r="E391" s="6">
        <v>50.8</v>
      </c>
      <c r="F391" s="5">
        <v>6.35</v>
      </c>
      <c r="G391" s="5">
        <f t="shared" si="37"/>
        <v>1</v>
      </c>
      <c r="H391" s="6" t="str">
        <f t="shared" si="38"/>
        <v>LLBB</v>
      </c>
      <c r="I391" s="5">
        <v>24.891999999999999</v>
      </c>
      <c r="J391" s="5">
        <f t="shared" si="39"/>
        <v>0</v>
      </c>
      <c r="K391" s="5">
        <v>0.6</v>
      </c>
      <c r="L391" s="5">
        <v>907384.50780799997</v>
      </c>
      <c r="M391" s="5">
        <v>1.94</v>
      </c>
      <c r="N391" s="5">
        <v>1.08</v>
      </c>
      <c r="O391" s="5">
        <v>24.206199999999999</v>
      </c>
      <c r="P391" s="5">
        <v>1061390.1352799998</v>
      </c>
      <c r="Q391" s="5">
        <v>33921.222479999997</v>
      </c>
      <c r="R391" s="5">
        <v>17534.158479999998</v>
      </c>
      <c r="S391" s="5">
        <v>26.161999999999999</v>
      </c>
      <c r="T391" s="5">
        <f t="shared" si="40"/>
        <v>1</v>
      </c>
      <c r="U391" s="5">
        <f t="shared" si="41"/>
        <v>1</v>
      </c>
      <c r="V391" s="5">
        <f t="shared" si="42"/>
        <v>1</v>
      </c>
      <c r="W391" s="5">
        <v>41.91</v>
      </c>
      <c r="X391" s="5">
        <v>0.73</v>
      </c>
    </row>
    <row r="392" spans="1:24" x14ac:dyDescent="0.25">
      <c r="A392" s="5" t="s">
        <v>716</v>
      </c>
      <c r="B392" s="5">
        <v>9.137326591599999</v>
      </c>
      <c r="C392" s="5">
        <v>1180.6428000000001</v>
      </c>
      <c r="D392" s="6">
        <v>76.199999999999989</v>
      </c>
      <c r="E392" s="6">
        <v>50.8</v>
      </c>
      <c r="F392" s="5">
        <v>4.7751999999999999</v>
      </c>
      <c r="G392" s="5">
        <f t="shared" si="37"/>
        <v>1</v>
      </c>
      <c r="H392" s="6" t="str">
        <f t="shared" si="38"/>
        <v>LLBB</v>
      </c>
      <c r="I392" s="5">
        <v>24.180799999999998</v>
      </c>
      <c r="J392" s="5">
        <f t="shared" si="39"/>
        <v>0</v>
      </c>
      <c r="K392" s="5">
        <v>0.55500000000000005</v>
      </c>
      <c r="L392" s="5">
        <v>703431.10926399985</v>
      </c>
      <c r="M392" s="5">
        <v>1.49</v>
      </c>
      <c r="N392" s="5">
        <v>0.82799999999999996</v>
      </c>
      <c r="O392" s="5">
        <v>24.409399999999998</v>
      </c>
      <c r="P392" s="5">
        <v>415815.19417439995</v>
      </c>
      <c r="Q392" s="5">
        <v>13879.843207999998</v>
      </c>
      <c r="R392" s="5">
        <v>8193.5319999999992</v>
      </c>
      <c r="S392" s="5">
        <v>18.770599999999998</v>
      </c>
      <c r="T392" s="5">
        <f t="shared" si="40"/>
        <v>1</v>
      </c>
      <c r="U392" s="5">
        <f t="shared" si="41"/>
        <v>1</v>
      </c>
      <c r="V392" s="5">
        <f t="shared" si="42"/>
        <v>1</v>
      </c>
      <c r="W392" s="5">
        <v>37.845999999999997</v>
      </c>
      <c r="X392" s="5">
        <v>0.66600000000000004</v>
      </c>
    </row>
    <row r="393" spans="1:24" x14ac:dyDescent="0.25">
      <c r="A393" s="5" t="s">
        <v>717</v>
      </c>
      <c r="B393" s="5">
        <v>9.137326591599999</v>
      </c>
      <c r="C393" s="5">
        <v>1180.6428000000001</v>
      </c>
      <c r="D393" s="6">
        <v>76.199999999999989</v>
      </c>
      <c r="E393" s="6">
        <v>50.8</v>
      </c>
      <c r="F393" s="5">
        <v>4.7751999999999999</v>
      </c>
      <c r="G393" s="5">
        <f t="shared" si="37"/>
        <v>1</v>
      </c>
      <c r="H393" s="6" t="str">
        <f t="shared" si="38"/>
        <v>LLBB</v>
      </c>
      <c r="I393" s="5">
        <v>24.180799999999998</v>
      </c>
      <c r="J393" s="5">
        <f t="shared" si="39"/>
        <v>0</v>
      </c>
      <c r="K393" s="5">
        <v>0.55500000000000005</v>
      </c>
      <c r="L393" s="5">
        <v>703431.10926399985</v>
      </c>
      <c r="M393" s="5">
        <v>1.49</v>
      </c>
      <c r="N393" s="5">
        <v>0.82799999999999996</v>
      </c>
      <c r="O393" s="5">
        <v>24.409399999999998</v>
      </c>
      <c r="P393" s="5">
        <v>574399.36732799991</v>
      </c>
      <c r="Q393" s="5">
        <v>19500.606159999996</v>
      </c>
      <c r="R393" s="5">
        <v>10340.237384</v>
      </c>
      <c r="S393" s="5">
        <v>22.072599999999998</v>
      </c>
      <c r="T393" s="5">
        <f t="shared" si="40"/>
        <v>1</v>
      </c>
      <c r="U393" s="5">
        <f t="shared" si="41"/>
        <v>1</v>
      </c>
      <c r="V393" s="5">
        <f t="shared" si="42"/>
        <v>1</v>
      </c>
      <c r="W393" s="5">
        <v>39.369999999999997</v>
      </c>
      <c r="X393" s="5">
        <v>0.69499999999999995</v>
      </c>
    </row>
    <row r="394" spans="1:24" x14ac:dyDescent="0.25">
      <c r="A394" s="5" t="s">
        <v>718</v>
      </c>
      <c r="B394" s="5">
        <v>9.137326591599999</v>
      </c>
      <c r="C394" s="5">
        <v>1180.6428000000001</v>
      </c>
      <c r="D394" s="6">
        <v>76.199999999999989</v>
      </c>
      <c r="E394" s="6">
        <v>50.8</v>
      </c>
      <c r="F394" s="5">
        <v>4.7751999999999999</v>
      </c>
      <c r="G394" s="5">
        <f t="shared" si="37"/>
        <v>1</v>
      </c>
      <c r="H394" s="6" t="str">
        <f t="shared" si="38"/>
        <v>LLBB</v>
      </c>
      <c r="I394" s="5">
        <v>24.180799999999998</v>
      </c>
      <c r="J394" s="5">
        <f t="shared" si="39"/>
        <v>0</v>
      </c>
      <c r="K394" s="5">
        <v>0.55500000000000005</v>
      </c>
      <c r="L394" s="5">
        <v>703431.10926399985</v>
      </c>
      <c r="M394" s="5">
        <v>1.49</v>
      </c>
      <c r="N394" s="5">
        <v>0.82799999999999996</v>
      </c>
      <c r="O394" s="5">
        <v>24.409399999999998</v>
      </c>
      <c r="P394" s="5">
        <v>790839.70863999985</v>
      </c>
      <c r="Q394" s="5">
        <v>25236.078559999998</v>
      </c>
      <c r="R394" s="5">
        <v>13109.6512</v>
      </c>
      <c r="S394" s="5">
        <v>25.907999999999998</v>
      </c>
      <c r="T394" s="5">
        <f t="shared" si="40"/>
        <v>1</v>
      </c>
      <c r="U394" s="5">
        <f t="shared" si="41"/>
        <v>1</v>
      </c>
      <c r="V394" s="5">
        <f t="shared" si="42"/>
        <v>1</v>
      </c>
      <c r="W394" s="5">
        <v>41.655999999999992</v>
      </c>
      <c r="X394" s="5">
        <v>0.72599999999999998</v>
      </c>
    </row>
    <row r="395" spans="1:24" x14ac:dyDescent="0.25">
      <c r="A395" s="5" t="s">
        <v>719</v>
      </c>
      <c r="B395" s="5">
        <v>15.774537764</v>
      </c>
      <c r="C395" s="5">
        <v>1999.9959999999999</v>
      </c>
      <c r="D395" s="6">
        <v>63.5</v>
      </c>
      <c r="E395" s="6">
        <v>50.8</v>
      </c>
      <c r="F395" s="5">
        <v>9.5249999999999986</v>
      </c>
      <c r="G395" s="5">
        <f t="shared" si="37"/>
        <v>1</v>
      </c>
      <c r="H395" s="6" t="str">
        <f t="shared" si="38"/>
        <v>LLBB</v>
      </c>
      <c r="I395" s="5">
        <v>20.980399999999999</v>
      </c>
      <c r="J395" s="5">
        <f t="shared" si="39"/>
        <v>0</v>
      </c>
      <c r="K395" s="5">
        <v>0.433</v>
      </c>
      <c r="L395" s="5">
        <v>761703.50884799997</v>
      </c>
      <c r="M395" s="5">
        <v>1.96</v>
      </c>
      <c r="N395" s="5">
        <v>1.0900000000000001</v>
      </c>
      <c r="O395" s="5">
        <v>19.456399999999999</v>
      </c>
      <c r="P395" s="5">
        <v>857436.73673599993</v>
      </c>
      <c r="Q395" s="5">
        <v>29332.844559999998</v>
      </c>
      <c r="R395" s="5">
        <v>16878.675919999998</v>
      </c>
      <c r="S395" s="5">
        <v>20.700999999999997</v>
      </c>
      <c r="T395" s="5">
        <f t="shared" si="40"/>
        <v>1</v>
      </c>
      <c r="U395" s="5">
        <f t="shared" si="41"/>
        <v>1</v>
      </c>
      <c r="V395" s="5">
        <f t="shared" si="42"/>
        <v>1</v>
      </c>
      <c r="W395" s="5">
        <v>32.765999999999998</v>
      </c>
      <c r="X395" s="5">
        <v>0.754</v>
      </c>
    </row>
    <row r="396" spans="1:24" x14ac:dyDescent="0.25">
      <c r="A396" s="5" t="s">
        <v>720</v>
      </c>
      <c r="B396" s="5">
        <v>15.774537764</v>
      </c>
      <c r="C396" s="5">
        <v>1999.9959999999999</v>
      </c>
      <c r="D396" s="6">
        <v>63.5</v>
      </c>
      <c r="E396" s="6">
        <v>50.8</v>
      </c>
      <c r="F396" s="5">
        <v>9.5249999999999986</v>
      </c>
      <c r="G396" s="5">
        <f t="shared" si="37"/>
        <v>1</v>
      </c>
      <c r="H396" s="6" t="str">
        <f t="shared" si="38"/>
        <v>LLBB</v>
      </c>
      <c r="I396" s="5">
        <v>20.980399999999999</v>
      </c>
      <c r="J396" s="5">
        <f t="shared" si="39"/>
        <v>0</v>
      </c>
      <c r="K396" s="5">
        <v>0.433</v>
      </c>
      <c r="L396" s="5">
        <v>761703.50884799997</v>
      </c>
      <c r="M396" s="5">
        <v>1.96</v>
      </c>
      <c r="N396" s="5">
        <v>1.0900000000000001</v>
      </c>
      <c r="O396" s="5">
        <v>19.456399999999999</v>
      </c>
      <c r="P396" s="5">
        <v>1182097.2487039999</v>
      </c>
      <c r="Q396" s="5">
        <v>38837.341679999998</v>
      </c>
      <c r="R396" s="5">
        <v>21303.183199999999</v>
      </c>
      <c r="S396" s="5">
        <v>24.307799999999997</v>
      </c>
      <c r="T396" s="5">
        <f t="shared" si="40"/>
        <v>1</v>
      </c>
      <c r="U396" s="5">
        <f t="shared" si="41"/>
        <v>1</v>
      </c>
      <c r="V396" s="5">
        <f t="shared" si="42"/>
        <v>1</v>
      </c>
      <c r="W396" s="5">
        <v>35.051999999999992</v>
      </c>
      <c r="X396" s="5">
        <v>0.78600000000000003</v>
      </c>
    </row>
    <row r="397" spans="1:24" x14ac:dyDescent="0.25">
      <c r="A397" s="5" t="s">
        <v>721</v>
      </c>
      <c r="B397" s="5">
        <v>15.774537764</v>
      </c>
      <c r="C397" s="5">
        <v>1999.9959999999999</v>
      </c>
      <c r="D397" s="6">
        <v>63.5</v>
      </c>
      <c r="E397" s="6">
        <v>50.8</v>
      </c>
      <c r="F397" s="5">
        <v>9.5249999999999986</v>
      </c>
      <c r="G397" s="5">
        <f t="shared" si="37"/>
        <v>1</v>
      </c>
      <c r="H397" s="6" t="str">
        <f t="shared" si="38"/>
        <v>LLBB</v>
      </c>
      <c r="I397" s="5">
        <v>20.980399999999999</v>
      </c>
      <c r="J397" s="5">
        <f t="shared" si="39"/>
        <v>0</v>
      </c>
      <c r="K397" s="5">
        <v>0.433</v>
      </c>
      <c r="L397" s="5">
        <v>761703.50884799997</v>
      </c>
      <c r="M397" s="5">
        <v>1.96</v>
      </c>
      <c r="N397" s="5">
        <v>1.0900000000000001</v>
      </c>
      <c r="O397" s="5">
        <v>19.456399999999999</v>
      </c>
      <c r="P397" s="5">
        <v>1590004.0457919997</v>
      </c>
      <c r="Q397" s="5">
        <v>48341.838799999998</v>
      </c>
      <c r="R397" s="5">
        <v>26383.173039999998</v>
      </c>
      <c r="S397" s="5">
        <v>28.194000000000003</v>
      </c>
      <c r="T397" s="5">
        <f t="shared" si="40"/>
        <v>1</v>
      </c>
      <c r="U397" s="5">
        <f t="shared" si="41"/>
        <v>1</v>
      </c>
      <c r="V397" s="5">
        <f t="shared" si="42"/>
        <v>1</v>
      </c>
      <c r="W397" s="5">
        <v>37.845999999999997</v>
      </c>
      <c r="X397" s="5">
        <v>0.81699999999999995</v>
      </c>
    </row>
    <row r="398" spans="1:24" x14ac:dyDescent="0.25">
      <c r="A398" s="5" t="s">
        <v>722</v>
      </c>
      <c r="B398" s="5">
        <v>13.393475459999999</v>
      </c>
      <c r="C398" s="5">
        <v>1703.2224000000001</v>
      </c>
      <c r="D398" s="6">
        <v>63.5</v>
      </c>
      <c r="E398" s="6">
        <v>50.8</v>
      </c>
      <c r="F398" s="5">
        <v>7.9501999999999997</v>
      </c>
      <c r="G398" s="5">
        <f t="shared" si="37"/>
        <v>1</v>
      </c>
      <c r="H398" s="6" t="str">
        <f t="shared" si="38"/>
        <v>LLBB</v>
      </c>
      <c r="I398" s="5">
        <v>20.3962</v>
      </c>
      <c r="J398" s="5">
        <f t="shared" si="39"/>
        <v>0</v>
      </c>
      <c r="K398" s="5">
        <v>0.38800000000000001</v>
      </c>
      <c r="L398" s="5">
        <v>657645.65244799992</v>
      </c>
      <c r="M398" s="5">
        <v>1.68</v>
      </c>
      <c r="N398" s="5">
        <v>0.93</v>
      </c>
      <c r="O398" s="5">
        <v>19.659600000000001</v>
      </c>
      <c r="P398" s="5">
        <v>711755.73777599994</v>
      </c>
      <c r="Q398" s="5">
        <v>24088.984079999998</v>
      </c>
      <c r="R398" s="5">
        <v>14010.939719999998</v>
      </c>
      <c r="S398" s="5">
        <v>20.421600000000002</v>
      </c>
      <c r="T398" s="5">
        <f t="shared" si="40"/>
        <v>1</v>
      </c>
      <c r="U398" s="5">
        <f t="shared" si="41"/>
        <v>1</v>
      </c>
      <c r="V398" s="5">
        <f t="shared" si="42"/>
        <v>1</v>
      </c>
      <c r="W398" s="5">
        <v>32.765999999999998</v>
      </c>
      <c r="X398" s="5">
        <v>0.748</v>
      </c>
    </row>
    <row r="399" spans="1:24" x14ac:dyDescent="0.25">
      <c r="A399" s="5" t="s">
        <v>723</v>
      </c>
      <c r="B399" s="5">
        <v>13.393475459999999</v>
      </c>
      <c r="C399" s="5">
        <v>1703.2224000000001</v>
      </c>
      <c r="D399" s="6">
        <v>63.5</v>
      </c>
      <c r="E399" s="6">
        <v>50.8</v>
      </c>
      <c r="F399" s="5">
        <v>7.9501999999999997</v>
      </c>
      <c r="G399" s="5">
        <f t="shared" si="37"/>
        <v>1</v>
      </c>
      <c r="H399" s="6" t="str">
        <f t="shared" si="38"/>
        <v>LLBB</v>
      </c>
      <c r="I399" s="5">
        <v>20.3962</v>
      </c>
      <c r="J399" s="5">
        <f t="shared" si="39"/>
        <v>0</v>
      </c>
      <c r="K399" s="5">
        <v>0.38800000000000001</v>
      </c>
      <c r="L399" s="5">
        <v>657645.65244799992</v>
      </c>
      <c r="M399" s="5">
        <v>1.68</v>
      </c>
      <c r="N399" s="5">
        <v>0.93</v>
      </c>
      <c r="O399" s="5">
        <v>19.659600000000001</v>
      </c>
      <c r="P399" s="5">
        <v>978143.85015999991</v>
      </c>
      <c r="Q399" s="5">
        <v>32118.645439999997</v>
      </c>
      <c r="R399" s="5">
        <v>17534.158479999998</v>
      </c>
      <c r="S399" s="5">
        <v>23.952199999999998</v>
      </c>
      <c r="T399" s="5">
        <f t="shared" si="40"/>
        <v>1</v>
      </c>
      <c r="U399" s="5">
        <f t="shared" si="41"/>
        <v>1</v>
      </c>
      <c r="V399" s="5">
        <f t="shared" si="42"/>
        <v>1</v>
      </c>
      <c r="W399" s="5">
        <v>35.051999999999992</v>
      </c>
      <c r="X399" s="5">
        <v>0.78100000000000003</v>
      </c>
    </row>
    <row r="400" spans="1:24" x14ac:dyDescent="0.25">
      <c r="A400" s="5" t="s">
        <v>724</v>
      </c>
      <c r="B400" s="5">
        <v>13.393475459999999</v>
      </c>
      <c r="C400" s="5">
        <v>1703.2224000000001</v>
      </c>
      <c r="D400" s="6">
        <v>63.5</v>
      </c>
      <c r="E400" s="6">
        <v>50.8</v>
      </c>
      <c r="F400" s="5">
        <v>7.9501999999999997</v>
      </c>
      <c r="G400" s="5">
        <f t="shared" si="37"/>
        <v>1</v>
      </c>
      <c r="H400" s="6" t="str">
        <f t="shared" si="38"/>
        <v>LLBB</v>
      </c>
      <c r="I400" s="5">
        <v>20.3962</v>
      </c>
      <c r="J400" s="5">
        <f t="shared" si="39"/>
        <v>0</v>
      </c>
      <c r="K400" s="5">
        <v>0.38800000000000001</v>
      </c>
      <c r="L400" s="5">
        <v>657645.65244799992</v>
      </c>
      <c r="M400" s="5">
        <v>1.68</v>
      </c>
      <c r="N400" s="5">
        <v>0.93</v>
      </c>
      <c r="O400" s="5">
        <v>19.659600000000001</v>
      </c>
      <c r="P400" s="5">
        <v>1327778.2476639999</v>
      </c>
      <c r="Q400" s="5">
        <v>40312.177439999992</v>
      </c>
      <c r="R400" s="5">
        <v>21958.66576</v>
      </c>
      <c r="S400" s="5">
        <v>27.94</v>
      </c>
      <c r="T400" s="5">
        <f t="shared" si="40"/>
        <v>1</v>
      </c>
      <c r="U400" s="5">
        <f t="shared" si="41"/>
        <v>1</v>
      </c>
      <c r="V400" s="5">
        <f t="shared" si="42"/>
        <v>1</v>
      </c>
      <c r="W400" s="5">
        <v>37.845999999999997</v>
      </c>
      <c r="X400" s="5">
        <v>0.81200000000000006</v>
      </c>
    </row>
    <row r="401" spans="1:24" x14ac:dyDescent="0.25">
      <c r="A401" s="5" t="s">
        <v>725</v>
      </c>
      <c r="B401" s="5">
        <v>10.774306925599999</v>
      </c>
      <c r="C401" s="5">
        <v>1380.6424</v>
      </c>
      <c r="D401" s="6">
        <v>63.5</v>
      </c>
      <c r="E401" s="6">
        <v>50.8</v>
      </c>
      <c r="F401" s="5">
        <v>6.35</v>
      </c>
      <c r="G401" s="5">
        <f t="shared" si="37"/>
        <v>1</v>
      </c>
      <c r="H401" s="6" t="str">
        <f t="shared" si="38"/>
        <v>LLBB</v>
      </c>
      <c r="I401" s="5">
        <v>19.7866</v>
      </c>
      <c r="J401" s="5">
        <f t="shared" si="39"/>
        <v>0</v>
      </c>
      <c r="K401" s="5">
        <v>0.36</v>
      </c>
      <c r="L401" s="5">
        <v>545263.16753600002</v>
      </c>
      <c r="M401" s="5">
        <v>1.38</v>
      </c>
      <c r="N401" s="5">
        <v>0.76200000000000001</v>
      </c>
      <c r="O401" s="5">
        <v>19.8628</v>
      </c>
      <c r="P401" s="5">
        <v>561912.42455999996</v>
      </c>
      <c r="Q401" s="5">
        <v>18681.252959999998</v>
      </c>
      <c r="R401" s="5">
        <v>11061.2682</v>
      </c>
      <c r="S401" s="5">
        <v>20.1676</v>
      </c>
      <c r="T401" s="5">
        <f t="shared" si="40"/>
        <v>1</v>
      </c>
      <c r="U401" s="5">
        <f t="shared" si="41"/>
        <v>1</v>
      </c>
      <c r="V401" s="5">
        <f t="shared" si="42"/>
        <v>1</v>
      </c>
      <c r="W401" s="5">
        <v>32.765999999999998</v>
      </c>
      <c r="X401" s="5">
        <v>0.74399999999999999</v>
      </c>
    </row>
    <row r="402" spans="1:24" x14ac:dyDescent="0.25">
      <c r="A402" s="5" t="s">
        <v>726</v>
      </c>
      <c r="B402" s="5">
        <v>10.774306925599999</v>
      </c>
      <c r="C402" s="5">
        <v>1380.6424</v>
      </c>
      <c r="D402" s="6">
        <v>63.5</v>
      </c>
      <c r="E402" s="6">
        <v>50.8</v>
      </c>
      <c r="F402" s="5">
        <v>6.35</v>
      </c>
      <c r="G402" s="5">
        <f t="shared" si="37"/>
        <v>1</v>
      </c>
      <c r="H402" s="6" t="str">
        <f t="shared" si="38"/>
        <v>LLBB</v>
      </c>
      <c r="I402" s="5">
        <v>19.7866</v>
      </c>
      <c r="J402" s="5">
        <f t="shared" si="39"/>
        <v>0</v>
      </c>
      <c r="K402" s="5">
        <v>0.36</v>
      </c>
      <c r="L402" s="5">
        <v>545263.16753600002</v>
      </c>
      <c r="M402" s="5">
        <v>1.38</v>
      </c>
      <c r="N402" s="5">
        <v>0.76200000000000001</v>
      </c>
      <c r="O402" s="5">
        <v>19.8628</v>
      </c>
      <c r="P402" s="5">
        <v>770028.13735999994</v>
      </c>
      <c r="Q402" s="5">
        <v>25236.078559999998</v>
      </c>
      <c r="R402" s="5">
        <v>13863.456143999998</v>
      </c>
      <c r="S402" s="5">
        <v>23.622</v>
      </c>
      <c r="T402" s="5">
        <f t="shared" si="40"/>
        <v>1</v>
      </c>
      <c r="U402" s="5">
        <f t="shared" si="41"/>
        <v>1</v>
      </c>
      <c r="V402" s="5">
        <f t="shared" si="42"/>
        <v>1</v>
      </c>
      <c r="W402" s="5">
        <v>35.051999999999992</v>
      </c>
      <c r="X402" s="5">
        <v>0.77500000000000002</v>
      </c>
    </row>
    <row r="403" spans="1:24" x14ac:dyDescent="0.25">
      <c r="A403" s="5" t="s">
        <v>727</v>
      </c>
      <c r="B403" s="5">
        <v>10.774306925599999</v>
      </c>
      <c r="C403" s="5">
        <v>1380.6424</v>
      </c>
      <c r="D403" s="6">
        <v>63.5</v>
      </c>
      <c r="E403" s="6">
        <v>50.8</v>
      </c>
      <c r="F403" s="5">
        <v>6.35</v>
      </c>
      <c r="G403" s="5">
        <f t="shared" si="37"/>
        <v>1</v>
      </c>
      <c r="H403" s="6" t="str">
        <f t="shared" si="38"/>
        <v>LLBB</v>
      </c>
      <c r="I403" s="5">
        <v>19.7866</v>
      </c>
      <c r="J403" s="5">
        <f t="shared" si="39"/>
        <v>0</v>
      </c>
      <c r="K403" s="5">
        <v>0.36</v>
      </c>
      <c r="L403" s="5">
        <v>545263.16753600002</v>
      </c>
      <c r="M403" s="5">
        <v>1.38</v>
      </c>
      <c r="N403" s="5">
        <v>0.76200000000000001</v>
      </c>
      <c r="O403" s="5">
        <v>19.8628</v>
      </c>
      <c r="P403" s="5">
        <v>1040578.5639999999</v>
      </c>
      <c r="Q403" s="5">
        <v>31790.904159999995</v>
      </c>
      <c r="R403" s="5">
        <v>17206.4172</v>
      </c>
      <c r="S403" s="5">
        <v>27.431999999999999</v>
      </c>
      <c r="T403" s="5">
        <f t="shared" si="40"/>
        <v>1</v>
      </c>
      <c r="U403" s="5">
        <f t="shared" si="41"/>
        <v>1</v>
      </c>
      <c r="V403" s="5">
        <f t="shared" si="42"/>
        <v>1</v>
      </c>
      <c r="W403" s="5">
        <v>37.845999999999997</v>
      </c>
      <c r="X403" s="5">
        <v>0.80600000000000005</v>
      </c>
    </row>
    <row r="404" spans="1:24" x14ac:dyDescent="0.25">
      <c r="A404" s="5" t="s">
        <v>728</v>
      </c>
      <c r="B404" s="5">
        <v>8.1849016700000004</v>
      </c>
      <c r="C404" s="5">
        <v>1058.0623999999998</v>
      </c>
      <c r="D404" s="6">
        <v>63.5</v>
      </c>
      <c r="E404" s="6">
        <v>50.8</v>
      </c>
      <c r="F404" s="5">
        <v>4.7751999999999999</v>
      </c>
      <c r="G404" s="5">
        <f t="shared" si="37"/>
        <v>1</v>
      </c>
      <c r="H404" s="6" t="str">
        <f t="shared" si="38"/>
        <v>LLBB</v>
      </c>
      <c r="I404" s="5">
        <v>19.151599999999998</v>
      </c>
      <c r="J404" s="5">
        <f t="shared" si="39"/>
        <v>0</v>
      </c>
      <c r="K404" s="5">
        <v>0.31900000000000001</v>
      </c>
      <c r="L404" s="5">
        <v>424556.05411199998</v>
      </c>
      <c r="M404" s="5">
        <v>1.06</v>
      </c>
      <c r="N404" s="5">
        <v>0.58599999999999997</v>
      </c>
      <c r="O404" s="5">
        <v>20.065999999999999</v>
      </c>
      <c r="P404" s="5">
        <v>420393.73985599994</v>
      </c>
      <c r="Q404" s="5">
        <v>13617.650183999998</v>
      </c>
      <c r="R404" s="5">
        <v>8275.4673199999997</v>
      </c>
      <c r="S404" s="5">
        <v>19.913599999999999</v>
      </c>
      <c r="T404" s="5">
        <f t="shared" si="40"/>
        <v>1</v>
      </c>
      <c r="U404" s="5">
        <f t="shared" si="41"/>
        <v>1</v>
      </c>
      <c r="V404" s="5">
        <f t="shared" si="42"/>
        <v>1</v>
      </c>
      <c r="W404" s="5">
        <v>32.765999999999998</v>
      </c>
      <c r="X404" s="5">
        <v>0.74</v>
      </c>
    </row>
    <row r="405" spans="1:24" x14ac:dyDescent="0.25">
      <c r="A405" s="5" t="s">
        <v>729</v>
      </c>
      <c r="B405" s="5">
        <v>8.1849016700000004</v>
      </c>
      <c r="C405" s="5">
        <v>1058.0623999999998</v>
      </c>
      <c r="D405" s="6">
        <v>63.5</v>
      </c>
      <c r="E405" s="6">
        <v>50.8</v>
      </c>
      <c r="F405" s="5">
        <v>4.7751999999999999</v>
      </c>
      <c r="G405" s="5">
        <f t="shared" si="37"/>
        <v>1</v>
      </c>
      <c r="H405" s="6" t="str">
        <f t="shared" si="38"/>
        <v>LLBB</v>
      </c>
      <c r="I405" s="5">
        <v>19.151599999999998</v>
      </c>
      <c r="J405" s="5">
        <f t="shared" si="39"/>
        <v>0</v>
      </c>
      <c r="K405" s="5">
        <v>0.31900000000000001</v>
      </c>
      <c r="L405" s="5">
        <v>424556.05411199998</v>
      </c>
      <c r="M405" s="5">
        <v>1.06</v>
      </c>
      <c r="N405" s="5">
        <v>0.58599999999999997</v>
      </c>
      <c r="O405" s="5">
        <v>20.065999999999999</v>
      </c>
      <c r="P405" s="5">
        <v>574399.36732799991</v>
      </c>
      <c r="Q405" s="5">
        <v>18681.252959999998</v>
      </c>
      <c r="R405" s="5">
        <v>10340.237384</v>
      </c>
      <c r="S405" s="5">
        <v>23.266400000000001</v>
      </c>
      <c r="T405" s="5">
        <f t="shared" si="40"/>
        <v>1</v>
      </c>
      <c r="U405" s="5">
        <f t="shared" si="41"/>
        <v>1</v>
      </c>
      <c r="V405" s="5">
        <f t="shared" si="42"/>
        <v>1</v>
      </c>
      <c r="W405" s="5">
        <v>35.051999999999992</v>
      </c>
      <c r="X405" s="5">
        <v>0.77100000000000002</v>
      </c>
    </row>
    <row r="406" spans="1:24" x14ac:dyDescent="0.25">
      <c r="A406" s="5" t="s">
        <v>730</v>
      </c>
      <c r="B406" s="5">
        <v>8.1849016700000004</v>
      </c>
      <c r="C406" s="5">
        <v>1058.0623999999998</v>
      </c>
      <c r="D406" s="6">
        <v>63.5</v>
      </c>
      <c r="E406" s="6">
        <v>50.8</v>
      </c>
      <c r="F406" s="5">
        <v>4.7751999999999999</v>
      </c>
      <c r="G406" s="5">
        <f t="shared" si="37"/>
        <v>1</v>
      </c>
      <c r="H406" s="6" t="str">
        <f t="shared" si="38"/>
        <v>LLBB</v>
      </c>
      <c r="I406" s="5">
        <v>19.151599999999998</v>
      </c>
      <c r="J406" s="5">
        <f t="shared" si="39"/>
        <v>0</v>
      </c>
      <c r="K406" s="5">
        <v>0.31900000000000001</v>
      </c>
      <c r="L406" s="5">
        <v>424556.05411199998</v>
      </c>
      <c r="M406" s="5">
        <v>1.06</v>
      </c>
      <c r="N406" s="5">
        <v>0.58599999999999997</v>
      </c>
      <c r="O406" s="5">
        <v>20.065999999999999</v>
      </c>
      <c r="P406" s="5">
        <v>782515.08012799989</v>
      </c>
      <c r="Q406" s="5">
        <v>23597.372159999995</v>
      </c>
      <c r="R406" s="5">
        <v>12978.554688</v>
      </c>
      <c r="S406" s="5">
        <v>27.178000000000001</v>
      </c>
      <c r="T406" s="5">
        <f t="shared" si="40"/>
        <v>1</v>
      </c>
      <c r="U406" s="5">
        <f t="shared" si="41"/>
        <v>1</v>
      </c>
      <c r="V406" s="5">
        <f t="shared" si="42"/>
        <v>1</v>
      </c>
      <c r="W406" s="5">
        <v>37.591999999999999</v>
      </c>
      <c r="X406" s="5">
        <v>0.80100000000000005</v>
      </c>
    </row>
    <row r="407" spans="1:24" x14ac:dyDescent="0.25">
      <c r="A407" s="5" t="s">
        <v>731</v>
      </c>
      <c r="B407" s="5">
        <v>9.4944859372000003</v>
      </c>
      <c r="C407" s="5">
        <v>1219.3524</v>
      </c>
      <c r="D407" s="6">
        <v>63.5</v>
      </c>
      <c r="E407" s="6">
        <v>38.099999999999994</v>
      </c>
      <c r="F407" s="5">
        <v>6.35</v>
      </c>
      <c r="G407" s="5">
        <f t="shared" si="37"/>
        <v>1</v>
      </c>
      <c r="H407" s="6" t="str">
        <f t="shared" si="38"/>
        <v>LLBB</v>
      </c>
      <c r="I407" s="5">
        <v>21.996399999999998</v>
      </c>
      <c r="J407" s="5">
        <f t="shared" si="39"/>
        <v>0</v>
      </c>
      <c r="K407" s="5">
        <v>0.60599999999999998</v>
      </c>
      <c r="L407" s="5">
        <v>495315.39646399993</v>
      </c>
      <c r="M407" s="5">
        <v>1.29</v>
      </c>
      <c r="N407" s="5">
        <v>0.72799999999999998</v>
      </c>
      <c r="O407" s="5">
        <v>20.065999999999999</v>
      </c>
      <c r="P407" s="5">
        <v>238916.83829439996</v>
      </c>
      <c r="Q407" s="5">
        <v>11552.880119999998</v>
      </c>
      <c r="R407" s="5">
        <v>6276.2455119999995</v>
      </c>
      <c r="S407" s="5">
        <v>13.9954</v>
      </c>
      <c r="T407" s="5">
        <f t="shared" si="40"/>
        <v>1</v>
      </c>
      <c r="U407" s="5">
        <f t="shared" si="41"/>
        <v>1</v>
      </c>
      <c r="V407" s="5">
        <f t="shared" si="42"/>
        <v>1</v>
      </c>
      <c r="W407" s="5">
        <v>30.733999999999998</v>
      </c>
      <c r="X407" s="5">
        <v>0.629</v>
      </c>
    </row>
    <row r="408" spans="1:24" x14ac:dyDescent="0.25">
      <c r="A408" s="5" t="s">
        <v>732</v>
      </c>
      <c r="B408" s="5">
        <v>9.4944859372000003</v>
      </c>
      <c r="C408" s="5">
        <v>1219.3524</v>
      </c>
      <c r="D408" s="6">
        <v>63.5</v>
      </c>
      <c r="E408" s="6">
        <v>38.099999999999994</v>
      </c>
      <c r="F408" s="5">
        <v>6.35</v>
      </c>
      <c r="G408" s="5">
        <f t="shared" si="37"/>
        <v>1</v>
      </c>
      <c r="H408" s="6" t="str">
        <f t="shared" si="38"/>
        <v>LLBB</v>
      </c>
      <c r="I408" s="5">
        <v>21.996399999999998</v>
      </c>
      <c r="J408" s="5">
        <f t="shared" si="39"/>
        <v>0</v>
      </c>
      <c r="K408" s="5">
        <v>0.60599999999999998</v>
      </c>
      <c r="L408" s="5">
        <v>495315.39646399993</v>
      </c>
      <c r="M408" s="5">
        <v>1.29</v>
      </c>
      <c r="N408" s="5">
        <v>0.72799999999999998</v>
      </c>
      <c r="O408" s="5">
        <v>20.065999999999999</v>
      </c>
      <c r="P408" s="5">
        <v>375440.74589119997</v>
      </c>
      <c r="Q408" s="5">
        <v>17370.287840000001</v>
      </c>
      <c r="R408" s="5">
        <v>8767.0792399999991</v>
      </c>
      <c r="S408" s="5">
        <v>17.551399999999997</v>
      </c>
      <c r="T408" s="5">
        <f t="shared" si="40"/>
        <v>1</v>
      </c>
      <c r="U408" s="5">
        <f t="shared" si="41"/>
        <v>1</v>
      </c>
      <c r="V408" s="5">
        <f t="shared" si="42"/>
        <v>1</v>
      </c>
      <c r="W408" s="5">
        <v>32.512</v>
      </c>
      <c r="X408" s="5">
        <v>0.66800000000000004</v>
      </c>
    </row>
    <row r="409" spans="1:24" x14ac:dyDescent="0.25">
      <c r="A409" s="5" t="s">
        <v>733</v>
      </c>
      <c r="B409" s="5">
        <v>9.4944859372000003</v>
      </c>
      <c r="C409" s="5">
        <v>1219.3524</v>
      </c>
      <c r="D409" s="6">
        <v>63.5</v>
      </c>
      <c r="E409" s="6">
        <v>38.099999999999994</v>
      </c>
      <c r="F409" s="5">
        <v>6.35</v>
      </c>
      <c r="G409" s="5">
        <f t="shared" si="37"/>
        <v>1</v>
      </c>
      <c r="H409" s="6" t="str">
        <f t="shared" si="38"/>
        <v>LLBB</v>
      </c>
      <c r="I409" s="5">
        <v>21.996399999999998</v>
      </c>
      <c r="J409" s="5">
        <f t="shared" si="39"/>
        <v>0</v>
      </c>
      <c r="K409" s="5">
        <v>0.60599999999999998</v>
      </c>
      <c r="L409" s="5">
        <v>495315.39646399993</v>
      </c>
      <c r="M409" s="5">
        <v>1.29</v>
      </c>
      <c r="N409" s="5">
        <v>0.72799999999999998</v>
      </c>
      <c r="O409" s="5">
        <v>20.065999999999999</v>
      </c>
      <c r="P409" s="5">
        <v>570237.05307200004</v>
      </c>
      <c r="Q409" s="5">
        <v>23105.760239999996</v>
      </c>
      <c r="R409" s="5">
        <v>11978.943783999999</v>
      </c>
      <c r="S409" s="5">
        <v>21.59</v>
      </c>
      <c r="T409" s="5">
        <f t="shared" si="40"/>
        <v>1</v>
      </c>
      <c r="U409" s="5">
        <f t="shared" si="41"/>
        <v>1</v>
      </c>
      <c r="V409" s="5">
        <f t="shared" si="42"/>
        <v>1</v>
      </c>
      <c r="W409" s="5">
        <v>35.051999999999992</v>
      </c>
      <c r="X409" s="5">
        <v>0.71099999999999997</v>
      </c>
    </row>
    <row r="410" spans="1:24" x14ac:dyDescent="0.25">
      <c r="A410" s="5" t="s">
        <v>734</v>
      </c>
      <c r="B410" s="5">
        <v>7.2622400271999998</v>
      </c>
      <c r="C410" s="5">
        <v>935.48199999999997</v>
      </c>
      <c r="D410" s="6">
        <v>63.5</v>
      </c>
      <c r="E410" s="6">
        <v>38.099999999999994</v>
      </c>
      <c r="F410" s="5">
        <v>4.7751999999999999</v>
      </c>
      <c r="G410" s="5">
        <f t="shared" si="37"/>
        <v>1</v>
      </c>
      <c r="H410" s="6" t="str">
        <f t="shared" si="38"/>
        <v>LLBB</v>
      </c>
      <c r="I410" s="5">
        <v>21.310599999999997</v>
      </c>
      <c r="J410" s="5">
        <f t="shared" si="39"/>
        <v>0</v>
      </c>
      <c r="K410" s="5">
        <v>0.56899999999999995</v>
      </c>
      <c r="L410" s="5">
        <v>386262.7629568</v>
      </c>
      <c r="M410" s="5">
        <v>0.99399999999999999</v>
      </c>
      <c r="N410" s="5">
        <v>0.56000000000000005</v>
      </c>
      <c r="O410" s="5">
        <v>20.32</v>
      </c>
      <c r="P410" s="5">
        <v>176482.12445439998</v>
      </c>
      <c r="Q410" s="5">
        <v>8226.3061280000002</v>
      </c>
      <c r="R410" s="5">
        <v>4637.5391119999995</v>
      </c>
      <c r="S410" s="5">
        <v>13.741400000000001</v>
      </c>
      <c r="T410" s="5">
        <f t="shared" si="40"/>
        <v>1</v>
      </c>
      <c r="U410" s="5">
        <f t="shared" si="41"/>
        <v>1</v>
      </c>
      <c r="V410" s="5">
        <f t="shared" si="42"/>
        <v>1</v>
      </c>
      <c r="W410" s="5">
        <v>30.987999999999996</v>
      </c>
      <c r="X410" s="5">
        <v>0.625</v>
      </c>
    </row>
    <row r="411" spans="1:24" x14ac:dyDescent="0.25">
      <c r="A411" s="5" t="s">
        <v>735</v>
      </c>
      <c r="B411" s="5">
        <v>7.2622400271999998</v>
      </c>
      <c r="C411" s="5">
        <v>935.48199999999997</v>
      </c>
      <c r="D411" s="6">
        <v>63.5</v>
      </c>
      <c r="E411" s="6">
        <v>38.099999999999994</v>
      </c>
      <c r="F411" s="5">
        <v>4.7751999999999999</v>
      </c>
      <c r="G411" s="5">
        <f t="shared" si="37"/>
        <v>1</v>
      </c>
      <c r="H411" s="6" t="str">
        <f t="shared" si="38"/>
        <v>LLBB</v>
      </c>
      <c r="I411" s="5">
        <v>21.310599999999997</v>
      </c>
      <c r="J411" s="5">
        <f t="shared" si="39"/>
        <v>0</v>
      </c>
      <c r="K411" s="5">
        <v>0.56899999999999995</v>
      </c>
      <c r="L411" s="5">
        <v>386262.7629568</v>
      </c>
      <c r="M411" s="5">
        <v>0.99399999999999999</v>
      </c>
      <c r="N411" s="5">
        <v>0.56000000000000005</v>
      </c>
      <c r="O411" s="5">
        <v>20.32</v>
      </c>
      <c r="P411" s="5">
        <v>276793.89802399999</v>
      </c>
      <c r="Q411" s="5">
        <v>12683.587535999999</v>
      </c>
      <c r="R411" s="5">
        <v>6456.5032160000001</v>
      </c>
      <c r="S411" s="5">
        <v>17.195800000000002</v>
      </c>
      <c r="T411" s="5">
        <f t="shared" si="40"/>
        <v>1</v>
      </c>
      <c r="U411" s="5">
        <f t="shared" si="41"/>
        <v>1</v>
      </c>
      <c r="V411" s="5">
        <f t="shared" si="42"/>
        <v>1</v>
      </c>
      <c r="W411" s="5">
        <v>32.765999999999998</v>
      </c>
      <c r="X411" s="5">
        <v>0.66200000000000003</v>
      </c>
    </row>
    <row r="412" spans="1:24" x14ac:dyDescent="0.25">
      <c r="A412" s="5" t="s">
        <v>736</v>
      </c>
      <c r="B412" s="5">
        <v>7.2622400271999998</v>
      </c>
      <c r="C412" s="5">
        <v>935.48199999999997</v>
      </c>
      <c r="D412" s="6">
        <v>63.5</v>
      </c>
      <c r="E412" s="6">
        <v>38.099999999999994</v>
      </c>
      <c r="F412" s="5">
        <v>4.7751999999999999</v>
      </c>
      <c r="G412" s="5">
        <f t="shared" si="37"/>
        <v>1</v>
      </c>
      <c r="H412" s="6" t="str">
        <f t="shared" si="38"/>
        <v>LLBB</v>
      </c>
      <c r="I412" s="5">
        <v>21.310599999999997</v>
      </c>
      <c r="J412" s="5">
        <f t="shared" si="39"/>
        <v>0</v>
      </c>
      <c r="K412" s="5">
        <v>0.56899999999999995</v>
      </c>
      <c r="L412" s="5">
        <v>386262.7629568</v>
      </c>
      <c r="M412" s="5">
        <v>0.99399999999999999</v>
      </c>
      <c r="N412" s="5">
        <v>0.56000000000000005</v>
      </c>
      <c r="O412" s="5">
        <v>20.32</v>
      </c>
      <c r="P412" s="5">
        <v>420393.73985599994</v>
      </c>
      <c r="Q412" s="5">
        <v>17206.4172</v>
      </c>
      <c r="R412" s="5">
        <v>8832.6274959999992</v>
      </c>
      <c r="S412" s="5">
        <v>21.158199999999997</v>
      </c>
      <c r="T412" s="5">
        <f t="shared" si="40"/>
        <v>1</v>
      </c>
      <c r="U412" s="5">
        <f t="shared" si="41"/>
        <v>1</v>
      </c>
      <c r="V412" s="5">
        <f t="shared" si="42"/>
        <v>1</v>
      </c>
      <c r="W412" s="5">
        <v>35.051999999999992</v>
      </c>
      <c r="X412" s="5">
        <v>0.70399999999999996</v>
      </c>
    </row>
    <row r="413" spans="1:24" x14ac:dyDescent="0.25">
      <c r="A413" s="5" t="s">
        <v>737</v>
      </c>
      <c r="B413" s="5">
        <v>131.55369229600001</v>
      </c>
      <c r="C413" s="5">
        <v>16903.191999999999</v>
      </c>
      <c r="D413" s="6">
        <v>152.39999999999998</v>
      </c>
      <c r="E413" s="6">
        <v>203.2</v>
      </c>
      <c r="F413" s="5">
        <v>25.4</v>
      </c>
      <c r="G413" s="5">
        <f t="shared" si="37"/>
        <v>1</v>
      </c>
      <c r="H413" s="6" t="s">
        <v>975</v>
      </c>
      <c r="I413" s="5">
        <v>41.91</v>
      </c>
      <c r="J413" s="5">
        <f t="shared" si="39"/>
        <v>0</v>
      </c>
      <c r="K413" s="5">
        <v>0.81899999999999995</v>
      </c>
      <c r="L413" s="5">
        <v>32299558.626559995</v>
      </c>
      <c r="M413" s="5">
        <v>32.4</v>
      </c>
      <c r="N413" s="5">
        <v>17.8</v>
      </c>
      <c r="O413" s="5">
        <v>43.687999999999995</v>
      </c>
      <c r="P413" s="5">
        <v>143599841.83199999</v>
      </c>
      <c r="Q413" s="5">
        <v>1137262.2416000001</v>
      </c>
      <c r="R413" s="5">
        <v>706282.4584</v>
      </c>
      <c r="S413" s="5">
        <v>92.201999999999998</v>
      </c>
      <c r="T413" s="5">
        <f t="shared" si="40"/>
        <v>1</v>
      </c>
      <c r="U413" s="5">
        <f t="shared" si="41"/>
        <v>1</v>
      </c>
      <c r="V413" s="5">
        <f t="shared" si="42"/>
        <v>1</v>
      </c>
      <c r="W413" s="5">
        <v>106.17199999999998</v>
      </c>
      <c r="X413" s="5">
        <v>0.92400000000000004</v>
      </c>
    </row>
    <row r="414" spans="1:24" x14ac:dyDescent="0.25">
      <c r="A414" s="5" t="s">
        <v>738</v>
      </c>
      <c r="B414" s="5">
        <v>131.55369229600001</v>
      </c>
      <c r="C414" s="5">
        <v>16903.191999999999</v>
      </c>
      <c r="D414" s="6">
        <v>152.39999999999998</v>
      </c>
      <c r="E414" s="6">
        <v>203.2</v>
      </c>
      <c r="F414" s="5">
        <v>25.4</v>
      </c>
      <c r="G414" s="5">
        <f t="shared" si="37"/>
        <v>1</v>
      </c>
      <c r="H414" s="6" t="str">
        <f t="shared" si="38"/>
        <v>SLBB</v>
      </c>
      <c r="I414" s="5">
        <v>41.91</v>
      </c>
      <c r="J414" s="5">
        <f t="shared" si="39"/>
        <v>0</v>
      </c>
      <c r="K414" s="5">
        <v>0.81899999999999995</v>
      </c>
      <c r="L414" s="5">
        <v>32299558.626559995</v>
      </c>
      <c r="M414" s="5">
        <v>32.4</v>
      </c>
      <c r="N414" s="5">
        <v>17.8</v>
      </c>
      <c r="O414" s="5">
        <v>43.687999999999995</v>
      </c>
      <c r="P414" s="5">
        <v>154838090.32319999</v>
      </c>
      <c r="Q414" s="5">
        <v>1217558.8551999999</v>
      </c>
      <c r="R414" s="5">
        <v>743972.70559999987</v>
      </c>
      <c r="S414" s="5">
        <v>95.757999999999996</v>
      </c>
      <c r="T414" s="5">
        <f t="shared" si="40"/>
        <v>1</v>
      </c>
      <c r="U414" s="5">
        <f t="shared" si="41"/>
        <v>1</v>
      </c>
      <c r="V414" s="5">
        <f t="shared" si="42"/>
        <v>1</v>
      </c>
      <c r="W414" s="5">
        <v>109.21999999999998</v>
      </c>
      <c r="X414" s="5">
        <v>0.92900000000000005</v>
      </c>
    </row>
    <row r="415" spans="1:24" x14ac:dyDescent="0.25">
      <c r="A415" s="5" t="s">
        <v>739</v>
      </c>
      <c r="B415" s="5">
        <v>131.55369229600001</v>
      </c>
      <c r="C415" s="5">
        <v>16903.191999999999</v>
      </c>
      <c r="D415" s="6">
        <v>152.39999999999998</v>
      </c>
      <c r="E415" s="6">
        <v>203.2</v>
      </c>
      <c r="F415" s="5">
        <v>25.4</v>
      </c>
      <c r="G415" s="5">
        <f t="shared" si="37"/>
        <v>1</v>
      </c>
      <c r="H415" s="6" t="str">
        <f t="shared" si="38"/>
        <v>SLBB</v>
      </c>
      <c r="I415" s="5">
        <v>41.91</v>
      </c>
      <c r="J415" s="5">
        <f t="shared" si="39"/>
        <v>0</v>
      </c>
      <c r="K415" s="5">
        <v>0.81899999999999995</v>
      </c>
      <c r="L415" s="5">
        <v>32299558.626559995</v>
      </c>
      <c r="M415" s="5">
        <v>32.4</v>
      </c>
      <c r="N415" s="5">
        <v>17.8</v>
      </c>
      <c r="O415" s="5">
        <v>43.687999999999995</v>
      </c>
      <c r="P415" s="5">
        <v>166908801.66559997</v>
      </c>
      <c r="Q415" s="5">
        <v>1299494.1751999999</v>
      </c>
      <c r="R415" s="5">
        <v>784940.3655999999</v>
      </c>
      <c r="S415" s="5">
        <v>99.313999999999993</v>
      </c>
      <c r="T415" s="5">
        <f t="shared" si="40"/>
        <v>1</v>
      </c>
      <c r="U415" s="5">
        <f t="shared" si="41"/>
        <v>1</v>
      </c>
      <c r="V415" s="5">
        <f t="shared" si="42"/>
        <v>1</v>
      </c>
      <c r="W415" s="5">
        <v>112.52199999999999</v>
      </c>
      <c r="X415" s="5">
        <v>0.93300000000000005</v>
      </c>
    </row>
    <row r="416" spans="1:24" x14ac:dyDescent="0.25">
      <c r="A416" s="5" t="s">
        <v>740</v>
      </c>
      <c r="B416" s="5">
        <v>116.374420108</v>
      </c>
      <c r="C416" s="5">
        <v>14838.679999999998</v>
      </c>
      <c r="D416" s="6">
        <v>152.39999999999998</v>
      </c>
      <c r="E416" s="6">
        <v>203.2</v>
      </c>
      <c r="F416" s="5">
        <v>22.224999999999998</v>
      </c>
      <c r="G416" s="5">
        <f t="shared" si="37"/>
        <v>1</v>
      </c>
      <c r="H416" s="6" t="str">
        <f t="shared" si="38"/>
        <v>SLBB</v>
      </c>
      <c r="I416" s="5">
        <v>40.64</v>
      </c>
      <c r="J416" s="5">
        <f t="shared" si="39"/>
        <v>0</v>
      </c>
      <c r="K416" s="5">
        <v>0.71899999999999997</v>
      </c>
      <c r="L416" s="5">
        <v>29052953.506879997</v>
      </c>
      <c r="M416" s="5">
        <v>28.7</v>
      </c>
      <c r="N416" s="5">
        <v>15.9</v>
      </c>
      <c r="O416" s="5">
        <v>44.195999999999998</v>
      </c>
      <c r="P416" s="5">
        <v>124869427.67999999</v>
      </c>
      <c r="Q416" s="5">
        <v>979946.42719999992</v>
      </c>
      <c r="R416" s="5">
        <v>614514.89999999991</v>
      </c>
      <c r="S416" s="5">
        <v>91.693999999999988</v>
      </c>
      <c r="T416" s="5">
        <f t="shared" si="40"/>
        <v>1</v>
      </c>
      <c r="U416" s="5">
        <f t="shared" si="41"/>
        <v>1</v>
      </c>
      <c r="V416" s="5">
        <f t="shared" si="42"/>
        <v>1</v>
      </c>
      <c r="W416" s="5">
        <v>105.91799999999999</v>
      </c>
      <c r="X416" s="5">
        <v>0.92200000000000004</v>
      </c>
    </row>
    <row r="417" spans="1:24" x14ac:dyDescent="0.25">
      <c r="A417" s="5" t="s">
        <v>741</v>
      </c>
      <c r="B417" s="5">
        <v>116.374420108</v>
      </c>
      <c r="C417" s="5">
        <v>14838.679999999998</v>
      </c>
      <c r="D417" s="6">
        <v>152.39999999999998</v>
      </c>
      <c r="E417" s="6">
        <v>203.2</v>
      </c>
      <c r="F417" s="5">
        <v>22.224999999999998</v>
      </c>
      <c r="G417" s="5">
        <f t="shared" si="37"/>
        <v>1</v>
      </c>
      <c r="H417" s="6" t="str">
        <f t="shared" si="38"/>
        <v>SLBB</v>
      </c>
      <c r="I417" s="5">
        <v>40.64</v>
      </c>
      <c r="J417" s="5">
        <f t="shared" si="39"/>
        <v>0</v>
      </c>
      <c r="K417" s="5">
        <v>0.71899999999999997</v>
      </c>
      <c r="L417" s="5">
        <v>29052953.506879997</v>
      </c>
      <c r="M417" s="5">
        <v>28.7</v>
      </c>
      <c r="N417" s="5">
        <v>15.9</v>
      </c>
      <c r="O417" s="5">
        <v>44.195999999999998</v>
      </c>
      <c r="P417" s="5">
        <v>134442750.46879998</v>
      </c>
      <c r="Q417" s="5">
        <v>1050410.8023999997</v>
      </c>
      <c r="R417" s="5">
        <v>647289.02799999993</v>
      </c>
      <c r="S417" s="5">
        <v>95.25</v>
      </c>
      <c r="T417" s="5">
        <f t="shared" si="40"/>
        <v>1</v>
      </c>
      <c r="U417" s="5">
        <f t="shared" si="41"/>
        <v>1</v>
      </c>
      <c r="V417" s="5">
        <f t="shared" si="42"/>
        <v>1</v>
      </c>
      <c r="W417" s="5">
        <v>108.96599999999999</v>
      </c>
      <c r="X417" s="5">
        <v>0.92600000000000005</v>
      </c>
    </row>
    <row r="418" spans="1:24" x14ac:dyDescent="0.25">
      <c r="A418" s="5" t="s">
        <v>742</v>
      </c>
      <c r="B418" s="5">
        <v>116.374420108</v>
      </c>
      <c r="C418" s="5">
        <v>14838.679999999998</v>
      </c>
      <c r="D418" s="6">
        <v>152.39999999999998</v>
      </c>
      <c r="E418" s="6">
        <v>203.2</v>
      </c>
      <c r="F418" s="5">
        <v>22.224999999999998</v>
      </c>
      <c r="G418" s="5">
        <f t="shared" si="37"/>
        <v>1</v>
      </c>
      <c r="H418" s="6" t="str">
        <f t="shared" si="38"/>
        <v>SLBB</v>
      </c>
      <c r="I418" s="5">
        <v>40.64</v>
      </c>
      <c r="J418" s="5">
        <f t="shared" si="39"/>
        <v>0</v>
      </c>
      <c r="K418" s="5">
        <v>0.71899999999999997</v>
      </c>
      <c r="L418" s="5">
        <v>29052953.506879997</v>
      </c>
      <c r="M418" s="5">
        <v>28.7</v>
      </c>
      <c r="N418" s="5">
        <v>15.9</v>
      </c>
      <c r="O418" s="5">
        <v>44.195999999999998</v>
      </c>
      <c r="P418" s="5">
        <v>144848536.10879999</v>
      </c>
      <c r="Q418" s="5">
        <v>1120875.1776000001</v>
      </c>
      <c r="R418" s="5">
        <v>681701.86239999998</v>
      </c>
      <c r="S418" s="5">
        <v>98.805999999999997</v>
      </c>
      <c r="T418" s="5">
        <f t="shared" si="40"/>
        <v>1</v>
      </c>
      <c r="U418" s="5">
        <f t="shared" si="41"/>
        <v>1</v>
      </c>
      <c r="V418" s="5">
        <f t="shared" si="42"/>
        <v>1</v>
      </c>
      <c r="W418" s="5">
        <v>112.26799999999999</v>
      </c>
      <c r="X418" s="5">
        <v>0.93</v>
      </c>
    </row>
    <row r="419" spans="1:24" x14ac:dyDescent="0.25">
      <c r="A419" s="5" t="s">
        <v>743</v>
      </c>
      <c r="B419" s="5">
        <v>100.59988234399999</v>
      </c>
      <c r="C419" s="5">
        <v>12903.199999999999</v>
      </c>
      <c r="D419" s="6">
        <v>152.39999999999998</v>
      </c>
      <c r="E419" s="6">
        <v>203.2</v>
      </c>
      <c r="F419" s="5">
        <v>19.049999999999997</v>
      </c>
      <c r="G419" s="5">
        <f t="shared" si="37"/>
        <v>1</v>
      </c>
      <c r="H419" s="6" t="str">
        <f t="shared" si="38"/>
        <v>SLBB</v>
      </c>
      <c r="I419" s="5">
        <v>39.624000000000002</v>
      </c>
      <c r="J419" s="5">
        <f t="shared" si="39"/>
        <v>0</v>
      </c>
      <c r="K419" s="5">
        <v>0.624</v>
      </c>
      <c r="L419" s="5">
        <v>25598232.674399998</v>
      </c>
      <c r="M419" s="5">
        <v>24.9</v>
      </c>
      <c r="N419" s="5">
        <v>13.8</v>
      </c>
      <c r="O419" s="5">
        <v>44.449999999999996</v>
      </c>
      <c r="P419" s="5">
        <v>107387707.80479999</v>
      </c>
      <c r="Q419" s="5">
        <v>834101.55759999994</v>
      </c>
      <c r="R419" s="5">
        <v>527663.4608</v>
      </c>
      <c r="S419" s="5">
        <v>91.185999999999993</v>
      </c>
      <c r="T419" s="5">
        <f t="shared" si="40"/>
        <v>1</v>
      </c>
      <c r="U419" s="5">
        <f t="shared" si="41"/>
        <v>1</v>
      </c>
      <c r="V419" s="5">
        <f t="shared" si="42"/>
        <v>1</v>
      </c>
      <c r="W419" s="5">
        <v>105.91799999999999</v>
      </c>
      <c r="X419" s="5">
        <v>0.91900000000000004</v>
      </c>
    </row>
    <row r="420" spans="1:24" x14ac:dyDescent="0.25">
      <c r="A420" s="5" t="s">
        <v>744</v>
      </c>
      <c r="B420" s="5">
        <v>100.59988234399999</v>
      </c>
      <c r="C420" s="5">
        <v>12903.199999999999</v>
      </c>
      <c r="D420" s="6">
        <v>152.39999999999998</v>
      </c>
      <c r="E420" s="6">
        <v>203.2</v>
      </c>
      <c r="F420" s="5">
        <v>19.049999999999997</v>
      </c>
      <c r="G420" s="5">
        <f t="shared" si="37"/>
        <v>1</v>
      </c>
      <c r="H420" s="6" t="str">
        <f t="shared" si="38"/>
        <v>SLBB</v>
      </c>
      <c r="I420" s="5">
        <v>39.624000000000002</v>
      </c>
      <c r="J420" s="5">
        <f t="shared" si="39"/>
        <v>0</v>
      </c>
      <c r="K420" s="5">
        <v>0.624</v>
      </c>
      <c r="L420" s="5">
        <v>25598232.674399998</v>
      </c>
      <c r="M420" s="5">
        <v>24.9</v>
      </c>
      <c r="N420" s="5">
        <v>13.8</v>
      </c>
      <c r="O420" s="5">
        <v>44.449999999999996</v>
      </c>
      <c r="P420" s="5">
        <v>115296104.89119999</v>
      </c>
      <c r="Q420" s="5">
        <v>896372.40079999994</v>
      </c>
      <c r="R420" s="5">
        <v>553882.76319999993</v>
      </c>
      <c r="S420" s="5">
        <v>94.488</v>
      </c>
      <c r="T420" s="5">
        <f t="shared" si="40"/>
        <v>1</v>
      </c>
      <c r="U420" s="5">
        <f t="shared" si="41"/>
        <v>1</v>
      </c>
      <c r="V420" s="5">
        <f t="shared" si="42"/>
        <v>1</v>
      </c>
      <c r="W420" s="5">
        <v>108.712</v>
      </c>
      <c r="X420" s="5">
        <v>0.92400000000000004</v>
      </c>
    </row>
    <row r="421" spans="1:24" x14ac:dyDescent="0.25">
      <c r="A421" s="5" t="s">
        <v>745</v>
      </c>
      <c r="B421" s="5">
        <v>100.59988234399999</v>
      </c>
      <c r="C421" s="5">
        <v>12903.199999999999</v>
      </c>
      <c r="D421" s="6">
        <v>152.39999999999998</v>
      </c>
      <c r="E421" s="6">
        <v>203.2</v>
      </c>
      <c r="F421" s="5">
        <v>19.049999999999997</v>
      </c>
      <c r="G421" s="5">
        <f t="shared" si="37"/>
        <v>1</v>
      </c>
      <c r="H421" s="6" t="str">
        <f t="shared" si="38"/>
        <v>SLBB</v>
      </c>
      <c r="I421" s="5">
        <v>39.624000000000002</v>
      </c>
      <c r="J421" s="5">
        <f t="shared" si="39"/>
        <v>0</v>
      </c>
      <c r="K421" s="5">
        <v>0.624</v>
      </c>
      <c r="L421" s="5">
        <v>25598232.674399998</v>
      </c>
      <c r="M421" s="5">
        <v>24.9</v>
      </c>
      <c r="N421" s="5">
        <v>13.8</v>
      </c>
      <c r="O421" s="5">
        <v>44.449999999999996</v>
      </c>
      <c r="P421" s="5">
        <v>124036964.82879999</v>
      </c>
      <c r="Q421" s="5">
        <v>957004.53759999992</v>
      </c>
      <c r="R421" s="5">
        <v>583379.47840000002</v>
      </c>
      <c r="S421" s="5">
        <v>98.043999999999997</v>
      </c>
      <c r="T421" s="5">
        <f t="shared" si="40"/>
        <v>1</v>
      </c>
      <c r="U421" s="5">
        <f t="shared" si="41"/>
        <v>1</v>
      </c>
      <c r="V421" s="5">
        <f t="shared" si="42"/>
        <v>1</v>
      </c>
      <c r="W421" s="5">
        <v>111.76</v>
      </c>
      <c r="X421" s="5">
        <v>0.92800000000000005</v>
      </c>
    </row>
    <row r="422" spans="1:24" x14ac:dyDescent="0.25">
      <c r="A422" s="5" t="s">
        <v>746</v>
      </c>
      <c r="B422" s="5">
        <v>84.825344579999992</v>
      </c>
      <c r="C422" s="5">
        <v>10838.688</v>
      </c>
      <c r="D422" s="6">
        <v>152.39999999999998</v>
      </c>
      <c r="E422" s="6">
        <v>203.2</v>
      </c>
      <c r="F422" s="5">
        <v>15.875</v>
      </c>
      <c r="G422" s="5">
        <f t="shared" si="37"/>
        <v>1</v>
      </c>
      <c r="H422" s="6" t="str">
        <f t="shared" si="38"/>
        <v>SLBB</v>
      </c>
      <c r="I422" s="5">
        <v>38.353999999999999</v>
      </c>
      <c r="J422" s="5">
        <f t="shared" si="39"/>
        <v>0</v>
      </c>
      <c r="K422" s="5">
        <v>0.52600000000000002</v>
      </c>
      <c r="L422" s="5">
        <v>21977019.271679997</v>
      </c>
      <c r="M422" s="5">
        <v>21</v>
      </c>
      <c r="N422" s="5">
        <v>11.8</v>
      </c>
      <c r="O422" s="5">
        <v>44.957999999999998</v>
      </c>
      <c r="P422" s="5">
        <v>89073525.078399986</v>
      </c>
      <c r="Q422" s="5">
        <v>688256.68799999997</v>
      </c>
      <c r="R422" s="5">
        <v>439173.31519999995</v>
      </c>
      <c r="S422" s="5">
        <v>90.677999999999997</v>
      </c>
      <c r="T422" s="5">
        <f t="shared" si="40"/>
        <v>1</v>
      </c>
      <c r="U422" s="5">
        <f t="shared" si="41"/>
        <v>1</v>
      </c>
      <c r="V422" s="5">
        <f t="shared" si="42"/>
        <v>1</v>
      </c>
      <c r="W422" s="5">
        <v>105.664</v>
      </c>
      <c r="X422" s="5">
        <v>0.91700000000000004</v>
      </c>
    </row>
    <row r="423" spans="1:24" x14ac:dyDescent="0.25">
      <c r="A423" s="5" t="s">
        <v>747</v>
      </c>
      <c r="B423" s="5">
        <v>84.825344579999992</v>
      </c>
      <c r="C423" s="5">
        <v>10838.688</v>
      </c>
      <c r="D423" s="6">
        <v>152.39999999999998</v>
      </c>
      <c r="E423" s="6">
        <v>203.2</v>
      </c>
      <c r="F423" s="5">
        <v>15.875</v>
      </c>
      <c r="G423" s="5">
        <f t="shared" si="37"/>
        <v>1</v>
      </c>
      <c r="H423" s="6" t="str">
        <f t="shared" si="38"/>
        <v>SLBB</v>
      </c>
      <c r="I423" s="5">
        <v>38.353999999999999</v>
      </c>
      <c r="J423" s="5">
        <f t="shared" si="39"/>
        <v>0</v>
      </c>
      <c r="K423" s="5">
        <v>0.52600000000000002</v>
      </c>
      <c r="L423" s="5">
        <v>21977019.271679997</v>
      </c>
      <c r="M423" s="5">
        <v>21</v>
      </c>
      <c r="N423" s="5">
        <v>11.8</v>
      </c>
      <c r="O423" s="5">
        <v>44.957999999999998</v>
      </c>
      <c r="P423" s="5">
        <v>95733227.887999997</v>
      </c>
      <c r="Q423" s="5">
        <v>740695.29279999994</v>
      </c>
      <c r="R423" s="5">
        <v>460476.49839999998</v>
      </c>
      <c r="S423" s="5">
        <v>93.98</v>
      </c>
      <c r="T423" s="5">
        <f t="shared" si="40"/>
        <v>1</v>
      </c>
      <c r="U423" s="5">
        <f t="shared" si="41"/>
        <v>1</v>
      </c>
      <c r="V423" s="5">
        <f t="shared" si="42"/>
        <v>1</v>
      </c>
      <c r="W423" s="5">
        <v>108.45799999999998</v>
      </c>
      <c r="X423" s="5">
        <v>0.92100000000000004</v>
      </c>
    </row>
    <row r="424" spans="1:24" x14ac:dyDescent="0.25">
      <c r="A424" s="5" t="s">
        <v>748</v>
      </c>
      <c r="B424" s="5">
        <v>84.825344579999992</v>
      </c>
      <c r="C424" s="5">
        <v>10838.688</v>
      </c>
      <c r="D424" s="6">
        <v>152.39999999999998</v>
      </c>
      <c r="E424" s="6">
        <v>203.2</v>
      </c>
      <c r="F424" s="5">
        <v>15.875</v>
      </c>
      <c r="G424" s="5">
        <f t="shared" si="37"/>
        <v>1</v>
      </c>
      <c r="H424" s="6" t="str">
        <f t="shared" si="38"/>
        <v>SLBB</v>
      </c>
      <c r="I424" s="5">
        <v>38.353999999999999</v>
      </c>
      <c r="J424" s="5">
        <f t="shared" si="39"/>
        <v>0</v>
      </c>
      <c r="K424" s="5">
        <v>0.52600000000000002</v>
      </c>
      <c r="L424" s="5">
        <v>21977019.271679997</v>
      </c>
      <c r="M424" s="5">
        <v>21</v>
      </c>
      <c r="N424" s="5">
        <v>11.8</v>
      </c>
      <c r="O424" s="5">
        <v>44.957999999999998</v>
      </c>
      <c r="P424" s="5">
        <v>103225393.54879999</v>
      </c>
      <c r="Q424" s="5">
        <v>793133.89759999991</v>
      </c>
      <c r="R424" s="5">
        <v>485057.0944</v>
      </c>
      <c r="S424" s="5">
        <v>97.535999999999987</v>
      </c>
      <c r="T424" s="5">
        <f t="shared" si="40"/>
        <v>1</v>
      </c>
      <c r="U424" s="5">
        <f t="shared" si="41"/>
        <v>1</v>
      </c>
      <c r="V424" s="5">
        <f t="shared" si="42"/>
        <v>1</v>
      </c>
      <c r="W424" s="5">
        <v>111.50599999999999</v>
      </c>
      <c r="X424" s="5">
        <v>0.92600000000000005</v>
      </c>
    </row>
    <row r="425" spans="1:24" x14ac:dyDescent="0.25">
      <c r="A425" s="5" t="s">
        <v>749</v>
      </c>
      <c r="B425" s="5">
        <v>76.491626515999997</v>
      </c>
      <c r="C425" s="5">
        <v>9806.4319999999989</v>
      </c>
      <c r="D425" s="6">
        <v>152.39999999999998</v>
      </c>
      <c r="E425" s="6">
        <v>203.2</v>
      </c>
      <c r="F425" s="5">
        <v>14.300199999999998</v>
      </c>
      <c r="G425" s="5">
        <f t="shared" si="37"/>
        <v>1</v>
      </c>
      <c r="H425" s="6" t="str">
        <f t="shared" si="38"/>
        <v>SLBB</v>
      </c>
      <c r="I425" s="5">
        <v>37.845999999999997</v>
      </c>
      <c r="J425" s="5">
        <f t="shared" si="39"/>
        <v>0</v>
      </c>
      <c r="K425" s="5">
        <v>0.47599999999999998</v>
      </c>
      <c r="L425" s="5">
        <v>20062354.713920001</v>
      </c>
      <c r="M425" s="5">
        <v>19</v>
      </c>
      <c r="N425" s="5">
        <v>10.7</v>
      </c>
      <c r="O425" s="5">
        <v>45.211999999999996</v>
      </c>
      <c r="P425" s="5">
        <v>79916433.715199992</v>
      </c>
      <c r="Q425" s="5">
        <v>617792.31279999996</v>
      </c>
      <c r="R425" s="5">
        <v>393289.53599999996</v>
      </c>
      <c r="S425" s="5">
        <v>90.169999999999987</v>
      </c>
      <c r="T425" s="5">
        <f t="shared" si="40"/>
        <v>1</v>
      </c>
      <c r="U425" s="5">
        <f t="shared" si="41"/>
        <v>1</v>
      </c>
      <c r="V425" s="5">
        <f t="shared" si="42"/>
        <v>1</v>
      </c>
      <c r="W425" s="5">
        <v>105.41</v>
      </c>
      <c r="X425" s="5">
        <v>0.91600000000000004</v>
      </c>
    </row>
    <row r="426" spans="1:24" x14ac:dyDescent="0.25">
      <c r="A426" s="5" t="s">
        <v>750</v>
      </c>
      <c r="B426" s="5">
        <v>76.491626515999997</v>
      </c>
      <c r="C426" s="5">
        <v>9806.4319999999989</v>
      </c>
      <c r="D426" s="6">
        <v>152.39999999999998</v>
      </c>
      <c r="E426" s="6">
        <v>203.2</v>
      </c>
      <c r="F426" s="5">
        <v>14.300199999999998</v>
      </c>
      <c r="G426" s="5">
        <f t="shared" si="37"/>
        <v>1</v>
      </c>
      <c r="H426" s="6" t="str">
        <f t="shared" si="38"/>
        <v>SLBB</v>
      </c>
      <c r="I426" s="5">
        <v>37.845999999999997</v>
      </c>
      <c r="J426" s="5">
        <f t="shared" si="39"/>
        <v>0</v>
      </c>
      <c r="K426" s="5">
        <v>0.47599999999999998</v>
      </c>
      <c r="L426" s="5">
        <v>20062354.713920001</v>
      </c>
      <c r="M426" s="5">
        <v>19</v>
      </c>
      <c r="N426" s="5">
        <v>10.7</v>
      </c>
      <c r="O426" s="5">
        <v>45.211999999999996</v>
      </c>
      <c r="P426" s="5">
        <v>86159905.099199995</v>
      </c>
      <c r="Q426" s="5">
        <v>665314.79839999997</v>
      </c>
      <c r="R426" s="5">
        <v>414592.71919999999</v>
      </c>
      <c r="S426" s="5">
        <v>93.725999999999999</v>
      </c>
      <c r="T426" s="5">
        <f t="shared" si="40"/>
        <v>1</v>
      </c>
      <c r="U426" s="5">
        <f t="shared" si="41"/>
        <v>1</v>
      </c>
      <c r="V426" s="5">
        <f t="shared" si="42"/>
        <v>1</v>
      </c>
      <c r="W426" s="5">
        <v>108.45799999999998</v>
      </c>
      <c r="X426" s="5">
        <v>0.92</v>
      </c>
    </row>
    <row r="427" spans="1:24" x14ac:dyDescent="0.25">
      <c r="A427" s="5" t="s">
        <v>751</v>
      </c>
      <c r="B427" s="5">
        <v>76.491626515999997</v>
      </c>
      <c r="C427" s="5">
        <v>9806.4319999999989</v>
      </c>
      <c r="D427" s="6">
        <v>152.39999999999998</v>
      </c>
      <c r="E427" s="6">
        <v>203.2</v>
      </c>
      <c r="F427" s="5">
        <v>14.300199999999998</v>
      </c>
      <c r="G427" s="5">
        <f t="shared" si="37"/>
        <v>1</v>
      </c>
      <c r="H427" s="6" t="str">
        <f t="shared" si="38"/>
        <v>SLBB</v>
      </c>
      <c r="I427" s="5">
        <v>37.845999999999997</v>
      </c>
      <c r="J427" s="5">
        <f t="shared" si="39"/>
        <v>0</v>
      </c>
      <c r="K427" s="5">
        <v>0.47599999999999998</v>
      </c>
      <c r="L427" s="5">
        <v>20062354.713920001</v>
      </c>
      <c r="M427" s="5">
        <v>19</v>
      </c>
      <c r="N427" s="5">
        <v>10.7</v>
      </c>
      <c r="O427" s="5">
        <v>45.211999999999996</v>
      </c>
      <c r="P427" s="5">
        <v>92819607.908799991</v>
      </c>
      <c r="Q427" s="5">
        <v>712837.28399999999</v>
      </c>
      <c r="R427" s="5">
        <v>435895.90239999996</v>
      </c>
      <c r="S427" s="5">
        <v>97.281999999999996</v>
      </c>
      <c r="T427" s="5">
        <f t="shared" si="40"/>
        <v>1</v>
      </c>
      <c r="U427" s="5">
        <f t="shared" si="41"/>
        <v>1</v>
      </c>
      <c r="V427" s="5">
        <f t="shared" si="42"/>
        <v>1</v>
      </c>
      <c r="W427" s="5">
        <v>111.50599999999999</v>
      </c>
      <c r="X427" s="5">
        <v>0.92400000000000004</v>
      </c>
    </row>
    <row r="428" spans="1:24" x14ac:dyDescent="0.25">
      <c r="A428" s="5" t="s">
        <v>752</v>
      </c>
      <c r="B428" s="5">
        <v>68.455541240000002</v>
      </c>
      <c r="C428" s="5">
        <v>8774.1759999999995</v>
      </c>
      <c r="D428" s="6">
        <v>152.39999999999998</v>
      </c>
      <c r="E428" s="6">
        <v>203.2</v>
      </c>
      <c r="F428" s="5">
        <v>12.7</v>
      </c>
      <c r="G428" s="5">
        <f t="shared" si="37"/>
        <v>1</v>
      </c>
      <c r="H428" s="6" t="str">
        <f t="shared" si="38"/>
        <v>SLBB</v>
      </c>
      <c r="I428" s="5">
        <v>37.083999999999996</v>
      </c>
      <c r="J428" s="5">
        <f t="shared" si="39"/>
        <v>0</v>
      </c>
      <c r="K428" s="5">
        <v>0.42499999999999999</v>
      </c>
      <c r="L428" s="5">
        <v>18106067.013599999</v>
      </c>
      <c r="M428" s="5">
        <v>17</v>
      </c>
      <c r="N428" s="5">
        <v>9.58</v>
      </c>
      <c r="O428" s="5">
        <v>45.466000000000001</v>
      </c>
      <c r="P428" s="5">
        <v>70759342.351999998</v>
      </c>
      <c r="Q428" s="5">
        <v>548966.64399999997</v>
      </c>
      <c r="R428" s="5">
        <v>347405.75679999997</v>
      </c>
      <c r="S428" s="5">
        <v>89.915999999999997</v>
      </c>
      <c r="T428" s="5">
        <f t="shared" si="40"/>
        <v>1</v>
      </c>
      <c r="U428" s="5">
        <f t="shared" si="41"/>
        <v>1</v>
      </c>
      <c r="V428" s="5">
        <f t="shared" si="42"/>
        <v>1</v>
      </c>
      <c r="W428" s="5">
        <v>105.41</v>
      </c>
      <c r="X428" s="5">
        <v>0.91500000000000004</v>
      </c>
    </row>
    <row r="429" spans="1:24" x14ac:dyDescent="0.25">
      <c r="A429" s="5" t="s">
        <v>753</v>
      </c>
      <c r="B429" s="5">
        <v>68.455541240000002</v>
      </c>
      <c r="C429" s="5">
        <v>8774.1759999999995</v>
      </c>
      <c r="D429" s="6">
        <v>152.39999999999998</v>
      </c>
      <c r="E429" s="6">
        <v>203.2</v>
      </c>
      <c r="F429" s="5">
        <v>12.7</v>
      </c>
      <c r="G429" s="5">
        <f t="shared" si="37"/>
        <v>1</v>
      </c>
      <c r="H429" s="6" t="str">
        <f t="shared" si="38"/>
        <v>SLBB</v>
      </c>
      <c r="I429" s="5">
        <v>37.083999999999996</v>
      </c>
      <c r="J429" s="5">
        <f t="shared" si="39"/>
        <v>0</v>
      </c>
      <c r="K429" s="5">
        <v>0.42499999999999999</v>
      </c>
      <c r="L429" s="5">
        <v>18106067.013599999</v>
      </c>
      <c r="M429" s="5">
        <v>17</v>
      </c>
      <c r="N429" s="5">
        <v>9.58</v>
      </c>
      <c r="O429" s="5">
        <v>45.466000000000001</v>
      </c>
      <c r="P429" s="5">
        <v>76586582.310399994</v>
      </c>
      <c r="Q429" s="5">
        <v>589934.304</v>
      </c>
      <c r="R429" s="5">
        <v>368708.93999999994</v>
      </c>
      <c r="S429" s="5">
        <v>93.471999999999994</v>
      </c>
      <c r="T429" s="5">
        <f t="shared" si="40"/>
        <v>1</v>
      </c>
      <c r="U429" s="5">
        <f t="shared" si="41"/>
        <v>1</v>
      </c>
      <c r="V429" s="5">
        <f t="shared" si="42"/>
        <v>1</v>
      </c>
      <c r="W429" s="5">
        <v>108.20399999999999</v>
      </c>
      <c r="X429" s="5">
        <v>0.91900000000000004</v>
      </c>
    </row>
    <row r="430" spans="1:24" x14ac:dyDescent="0.25">
      <c r="A430" s="5" t="s">
        <v>754</v>
      </c>
      <c r="B430" s="5">
        <v>68.455541240000002</v>
      </c>
      <c r="C430" s="5">
        <v>8774.1759999999995</v>
      </c>
      <c r="D430" s="6">
        <v>152.39999999999998</v>
      </c>
      <c r="E430" s="6">
        <v>203.2</v>
      </c>
      <c r="F430" s="5">
        <v>12.7</v>
      </c>
      <c r="G430" s="5">
        <f t="shared" si="37"/>
        <v>1</v>
      </c>
      <c r="H430" s="6" t="str">
        <f t="shared" si="38"/>
        <v>SLBB</v>
      </c>
      <c r="I430" s="5">
        <v>37.083999999999996</v>
      </c>
      <c r="J430" s="5">
        <f t="shared" si="39"/>
        <v>0</v>
      </c>
      <c r="K430" s="5">
        <v>0.42499999999999999</v>
      </c>
      <c r="L430" s="5">
        <v>18106067.013599999</v>
      </c>
      <c r="M430" s="5">
        <v>17</v>
      </c>
      <c r="N430" s="5">
        <v>9.58</v>
      </c>
      <c r="O430" s="5">
        <v>45.466000000000001</v>
      </c>
      <c r="P430" s="5">
        <v>81997590.843199998</v>
      </c>
      <c r="Q430" s="5">
        <v>632540.67039999994</v>
      </c>
      <c r="R430" s="5">
        <v>385096.00399999996</v>
      </c>
      <c r="S430" s="5">
        <v>96.774000000000001</v>
      </c>
      <c r="T430" s="5">
        <f t="shared" si="40"/>
        <v>1</v>
      </c>
      <c r="U430" s="5">
        <f t="shared" si="41"/>
        <v>1</v>
      </c>
      <c r="V430" s="5">
        <f t="shared" si="42"/>
        <v>1</v>
      </c>
      <c r="W430" s="5">
        <v>111.252</v>
      </c>
      <c r="X430" s="5">
        <v>0.92300000000000004</v>
      </c>
    </row>
    <row r="431" spans="1:24" x14ac:dyDescent="0.25">
      <c r="A431" s="5" t="s">
        <v>755</v>
      </c>
      <c r="B431" s="5">
        <v>60.121823175999999</v>
      </c>
      <c r="C431" s="5">
        <v>7741.92</v>
      </c>
      <c r="D431" s="6">
        <v>152.39999999999998</v>
      </c>
      <c r="E431" s="6">
        <v>203.2</v>
      </c>
      <c r="F431" s="5">
        <v>11.1252</v>
      </c>
      <c r="G431" s="5">
        <f t="shared" si="37"/>
        <v>1</v>
      </c>
      <c r="H431" s="6" t="str">
        <f t="shared" si="38"/>
        <v>SLBB</v>
      </c>
      <c r="I431" s="5">
        <v>36.575999999999993</v>
      </c>
      <c r="J431" s="5">
        <f t="shared" si="39"/>
        <v>0</v>
      </c>
      <c r="K431" s="5">
        <v>0.374</v>
      </c>
      <c r="L431" s="5">
        <v>16066533.028159998</v>
      </c>
      <c r="M431" s="5">
        <v>15</v>
      </c>
      <c r="N431" s="5">
        <v>8.4600000000000009</v>
      </c>
      <c r="O431" s="5">
        <v>45.72</v>
      </c>
      <c r="P431" s="5">
        <v>62434713.839999996</v>
      </c>
      <c r="Q431" s="5">
        <v>476863.5624</v>
      </c>
      <c r="R431" s="5">
        <v>308076.80319999997</v>
      </c>
      <c r="S431" s="5">
        <v>89.661999999999992</v>
      </c>
      <c r="T431" s="5">
        <f t="shared" si="40"/>
        <v>1</v>
      </c>
      <c r="U431" s="5">
        <f t="shared" si="41"/>
        <v>1</v>
      </c>
      <c r="V431" s="5">
        <f t="shared" si="42"/>
        <v>1</v>
      </c>
      <c r="W431" s="5">
        <v>105.41</v>
      </c>
      <c r="X431" s="5">
        <v>0.91300000000000003</v>
      </c>
    </row>
    <row r="432" spans="1:24" x14ac:dyDescent="0.25">
      <c r="A432" s="5" t="s">
        <v>756</v>
      </c>
      <c r="B432" s="5">
        <v>60.121823175999999</v>
      </c>
      <c r="C432" s="5">
        <v>7741.92</v>
      </c>
      <c r="D432" s="6">
        <v>152.39999999999998</v>
      </c>
      <c r="E432" s="6">
        <v>203.2</v>
      </c>
      <c r="F432" s="5">
        <v>11.1252</v>
      </c>
      <c r="G432" s="5">
        <f t="shared" si="37"/>
        <v>1</v>
      </c>
      <c r="H432" s="6" t="str">
        <f t="shared" si="38"/>
        <v>SLBB</v>
      </c>
      <c r="I432" s="5">
        <v>36.575999999999993</v>
      </c>
      <c r="J432" s="5">
        <f t="shared" si="39"/>
        <v>0</v>
      </c>
      <c r="K432" s="5">
        <v>0.374</v>
      </c>
      <c r="L432" s="5">
        <v>16066533.028159998</v>
      </c>
      <c r="M432" s="5">
        <v>15</v>
      </c>
      <c r="N432" s="5">
        <v>8.4600000000000009</v>
      </c>
      <c r="O432" s="5">
        <v>45.72</v>
      </c>
      <c r="P432" s="5">
        <v>67013259.521599993</v>
      </c>
      <c r="Q432" s="5">
        <v>514553.80959999992</v>
      </c>
      <c r="R432" s="5">
        <v>322825.16079999995</v>
      </c>
      <c r="S432" s="5">
        <v>92.963999999999999</v>
      </c>
      <c r="T432" s="5">
        <f t="shared" si="40"/>
        <v>1</v>
      </c>
      <c r="U432" s="5">
        <f t="shared" si="41"/>
        <v>1</v>
      </c>
      <c r="V432" s="5">
        <f t="shared" si="42"/>
        <v>1</v>
      </c>
      <c r="W432" s="5">
        <v>108.20399999999999</v>
      </c>
      <c r="X432" s="5">
        <v>0.91800000000000004</v>
      </c>
    </row>
    <row r="433" spans="1:24" x14ac:dyDescent="0.25">
      <c r="A433" s="5" t="s">
        <v>757</v>
      </c>
      <c r="B433" s="5">
        <v>60.121823175999999</v>
      </c>
      <c r="C433" s="5">
        <v>7741.92</v>
      </c>
      <c r="D433" s="6">
        <v>152.39999999999998</v>
      </c>
      <c r="E433" s="6">
        <v>203.2</v>
      </c>
      <c r="F433" s="5">
        <v>11.1252</v>
      </c>
      <c r="G433" s="5">
        <f t="shared" si="37"/>
        <v>1</v>
      </c>
      <c r="H433" s="6" t="str">
        <f t="shared" si="38"/>
        <v>SLBB</v>
      </c>
      <c r="I433" s="5">
        <v>36.575999999999993</v>
      </c>
      <c r="J433" s="5">
        <f t="shared" si="39"/>
        <v>0</v>
      </c>
      <c r="K433" s="5">
        <v>0.374</v>
      </c>
      <c r="L433" s="5">
        <v>16066533.028159998</v>
      </c>
      <c r="M433" s="5">
        <v>15</v>
      </c>
      <c r="N433" s="5">
        <v>8.4600000000000009</v>
      </c>
      <c r="O433" s="5">
        <v>45.72</v>
      </c>
      <c r="P433" s="5">
        <v>72008036.62879999</v>
      </c>
      <c r="Q433" s="5">
        <v>550605.3504</v>
      </c>
      <c r="R433" s="5">
        <v>339212.22479999997</v>
      </c>
      <c r="S433" s="5">
        <v>96.52</v>
      </c>
      <c r="T433" s="5">
        <f t="shared" si="40"/>
        <v>1</v>
      </c>
      <c r="U433" s="5">
        <f t="shared" si="41"/>
        <v>1</v>
      </c>
      <c r="V433" s="5">
        <f t="shared" si="42"/>
        <v>1</v>
      </c>
      <c r="W433" s="5">
        <v>111.252</v>
      </c>
      <c r="X433" s="5">
        <v>0.92200000000000004</v>
      </c>
    </row>
    <row r="434" spans="1:24" x14ac:dyDescent="0.25">
      <c r="A434" s="5" t="s">
        <v>758</v>
      </c>
      <c r="B434" s="5">
        <v>111.31466271199999</v>
      </c>
      <c r="C434" s="5">
        <v>14322.552</v>
      </c>
      <c r="D434" s="6">
        <v>101.6</v>
      </c>
      <c r="E434" s="6">
        <v>203.2</v>
      </c>
      <c r="F434" s="5">
        <v>25.4</v>
      </c>
      <c r="G434" s="5">
        <f t="shared" si="37"/>
        <v>1</v>
      </c>
      <c r="H434" s="6" t="str">
        <f t="shared" si="38"/>
        <v>SLBB</v>
      </c>
      <c r="I434" s="5">
        <v>26.416</v>
      </c>
      <c r="J434" s="5">
        <f t="shared" si="39"/>
        <v>0</v>
      </c>
      <c r="K434" s="5">
        <v>0.69399999999999995</v>
      </c>
      <c r="L434" s="5">
        <v>9698192.2164799999</v>
      </c>
      <c r="M434" s="5">
        <v>15.5</v>
      </c>
      <c r="N434" s="5">
        <v>7.87</v>
      </c>
      <c r="O434" s="5">
        <v>26.161999999999999</v>
      </c>
      <c r="P434" s="5">
        <v>143599841.83199999</v>
      </c>
      <c r="Q434" s="5">
        <v>1102849.4071999998</v>
      </c>
      <c r="R434" s="5">
        <v>706282.4584</v>
      </c>
      <c r="S434" s="5">
        <v>100.07599999999999</v>
      </c>
      <c r="T434" s="5">
        <f t="shared" si="40"/>
        <v>1</v>
      </c>
      <c r="U434" s="5">
        <f t="shared" si="41"/>
        <v>1</v>
      </c>
      <c r="V434" s="5">
        <f t="shared" si="42"/>
        <v>1</v>
      </c>
      <c r="W434" s="5">
        <v>104.39400000000001</v>
      </c>
      <c r="X434" s="5">
        <v>0.98299999999999998</v>
      </c>
    </row>
    <row r="435" spans="1:24" x14ac:dyDescent="0.25">
      <c r="A435" s="5" t="s">
        <v>759</v>
      </c>
      <c r="B435" s="5">
        <v>111.31466271199999</v>
      </c>
      <c r="C435" s="5">
        <v>14322.552</v>
      </c>
      <c r="D435" s="6">
        <v>101.6</v>
      </c>
      <c r="E435" s="6">
        <v>203.2</v>
      </c>
      <c r="F435" s="5">
        <v>25.4</v>
      </c>
      <c r="G435" s="5">
        <f t="shared" si="37"/>
        <v>1</v>
      </c>
      <c r="H435" s="6" t="str">
        <f t="shared" si="38"/>
        <v>SLBB</v>
      </c>
      <c r="I435" s="5">
        <v>26.416</v>
      </c>
      <c r="J435" s="5">
        <f t="shared" si="39"/>
        <v>0</v>
      </c>
      <c r="K435" s="5">
        <v>0.69399999999999995</v>
      </c>
      <c r="L435" s="5">
        <v>9698192.2164799999</v>
      </c>
      <c r="M435" s="5">
        <v>15.5</v>
      </c>
      <c r="N435" s="5">
        <v>7.87</v>
      </c>
      <c r="O435" s="5">
        <v>26.161999999999999</v>
      </c>
      <c r="P435" s="5">
        <v>154005627.47199997</v>
      </c>
      <c r="Q435" s="5">
        <v>1170036.3696000001</v>
      </c>
      <c r="R435" s="5">
        <v>740695.29279999994</v>
      </c>
      <c r="S435" s="5">
        <v>103.63199999999999</v>
      </c>
      <c r="T435" s="5">
        <f t="shared" si="40"/>
        <v>1</v>
      </c>
      <c r="U435" s="5">
        <f t="shared" si="41"/>
        <v>1</v>
      </c>
      <c r="V435" s="5">
        <f t="shared" si="42"/>
        <v>1</v>
      </c>
      <c r="W435" s="5">
        <v>107.94999999999999</v>
      </c>
      <c r="X435" s="5">
        <v>0.98399999999999999</v>
      </c>
    </row>
    <row r="436" spans="1:24" x14ac:dyDescent="0.25">
      <c r="A436" s="5" t="s">
        <v>760</v>
      </c>
      <c r="B436" s="5">
        <v>111.31466271199999</v>
      </c>
      <c r="C436" s="5">
        <v>14322.552</v>
      </c>
      <c r="D436" s="6">
        <v>101.6</v>
      </c>
      <c r="E436" s="6">
        <v>203.2</v>
      </c>
      <c r="F436" s="5">
        <v>25.4</v>
      </c>
      <c r="G436" s="5">
        <f t="shared" si="37"/>
        <v>1</v>
      </c>
      <c r="H436" s="6" t="str">
        <f t="shared" si="38"/>
        <v>SLBB</v>
      </c>
      <c r="I436" s="5">
        <v>26.416</v>
      </c>
      <c r="J436" s="5">
        <f t="shared" si="39"/>
        <v>0</v>
      </c>
      <c r="K436" s="5">
        <v>0.69399999999999995</v>
      </c>
      <c r="L436" s="5">
        <v>9698192.2164799999</v>
      </c>
      <c r="M436" s="5">
        <v>15.5</v>
      </c>
      <c r="N436" s="5">
        <v>7.87</v>
      </c>
      <c r="O436" s="5">
        <v>26.161999999999999</v>
      </c>
      <c r="P436" s="5">
        <v>165243875.96319997</v>
      </c>
      <c r="Q436" s="5">
        <v>1238862.0383999997</v>
      </c>
      <c r="R436" s="5">
        <v>776746.8335999999</v>
      </c>
      <c r="S436" s="5">
        <v>107.44200000000001</v>
      </c>
      <c r="T436" s="5">
        <f t="shared" si="40"/>
        <v>1</v>
      </c>
      <c r="U436" s="5">
        <f t="shared" si="41"/>
        <v>1</v>
      </c>
      <c r="V436" s="5">
        <f t="shared" si="42"/>
        <v>1</v>
      </c>
      <c r="W436" s="5">
        <v>111.50599999999999</v>
      </c>
      <c r="X436" s="5">
        <v>0.98499999999999999</v>
      </c>
    </row>
    <row r="437" spans="1:24" x14ac:dyDescent="0.25">
      <c r="A437" s="5" t="s">
        <v>761</v>
      </c>
      <c r="B437" s="5">
        <v>98.516452827999998</v>
      </c>
      <c r="C437" s="5">
        <v>12645.136</v>
      </c>
      <c r="D437" s="6">
        <v>101.6</v>
      </c>
      <c r="E437" s="6">
        <v>203.2</v>
      </c>
      <c r="F437" s="5">
        <v>22.224999999999998</v>
      </c>
      <c r="G437" s="5">
        <f t="shared" si="37"/>
        <v>1</v>
      </c>
      <c r="H437" s="6" t="str">
        <f t="shared" si="38"/>
        <v>SLBB</v>
      </c>
      <c r="I437" s="5">
        <v>25.323799999999999</v>
      </c>
      <c r="J437" s="5">
        <f t="shared" si="39"/>
        <v>0</v>
      </c>
      <c r="K437" s="5">
        <v>0.61199999999999999</v>
      </c>
      <c r="L437" s="5">
        <v>8782483.0801599994</v>
      </c>
      <c r="M437" s="5">
        <v>13.5</v>
      </c>
      <c r="N437" s="5">
        <v>7.02</v>
      </c>
      <c r="O437" s="5">
        <v>26.416</v>
      </c>
      <c r="P437" s="5">
        <v>124869427.67999999</v>
      </c>
      <c r="Q437" s="5">
        <v>958643.24399999995</v>
      </c>
      <c r="R437" s="5">
        <v>614514.89999999991</v>
      </c>
      <c r="S437" s="5">
        <v>99.313999999999993</v>
      </c>
      <c r="T437" s="5">
        <f t="shared" si="40"/>
        <v>1</v>
      </c>
      <c r="U437" s="5">
        <f t="shared" si="41"/>
        <v>1</v>
      </c>
      <c r="V437" s="5">
        <f t="shared" si="42"/>
        <v>1</v>
      </c>
      <c r="W437" s="5">
        <v>103.886</v>
      </c>
      <c r="X437" s="5">
        <v>0.98099999999999998</v>
      </c>
    </row>
    <row r="438" spans="1:24" x14ac:dyDescent="0.25">
      <c r="A438" s="5" t="s">
        <v>762</v>
      </c>
      <c r="B438" s="5">
        <v>98.516452827999998</v>
      </c>
      <c r="C438" s="5">
        <v>12645.136</v>
      </c>
      <c r="D438" s="6">
        <v>101.6</v>
      </c>
      <c r="E438" s="6">
        <v>203.2</v>
      </c>
      <c r="F438" s="5">
        <v>22.224999999999998</v>
      </c>
      <c r="G438" s="5">
        <f t="shared" si="37"/>
        <v>1</v>
      </c>
      <c r="H438" s="6" t="str">
        <f t="shared" si="38"/>
        <v>SLBB</v>
      </c>
      <c r="I438" s="5">
        <v>25.323799999999999</v>
      </c>
      <c r="J438" s="5">
        <f t="shared" si="39"/>
        <v>0</v>
      </c>
      <c r="K438" s="5">
        <v>0.61199999999999999</v>
      </c>
      <c r="L438" s="5">
        <v>8782483.0801599994</v>
      </c>
      <c r="M438" s="5">
        <v>13.5</v>
      </c>
      <c r="N438" s="5">
        <v>7.02</v>
      </c>
      <c r="O438" s="5">
        <v>26.416</v>
      </c>
      <c r="P438" s="5">
        <v>134442750.46879998</v>
      </c>
      <c r="Q438" s="5">
        <v>1019275.3807999999</v>
      </c>
      <c r="R438" s="5">
        <v>647289.02799999993</v>
      </c>
      <c r="S438" s="5">
        <v>103.12399999999998</v>
      </c>
      <c r="T438" s="5">
        <f t="shared" si="40"/>
        <v>1</v>
      </c>
      <c r="U438" s="5">
        <f t="shared" si="41"/>
        <v>1</v>
      </c>
      <c r="V438" s="5">
        <f t="shared" si="42"/>
        <v>1</v>
      </c>
      <c r="W438" s="5">
        <v>107.18799999999999</v>
      </c>
      <c r="X438" s="5">
        <v>0.98199999999999998</v>
      </c>
    </row>
    <row r="439" spans="1:24" x14ac:dyDescent="0.25">
      <c r="A439" s="5" t="s">
        <v>763</v>
      </c>
      <c r="B439" s="5">
        <v>98.516452827999998</v>
      </c>
      <c r="C439" s="5">
        <v>12645.136</v>
      </c>
      <c r="D439" s="6">
        <v>101.6</v>
      </c>
      <c r="E439" s="6">
        <v>203.2</v>
      </c>
      <c r="F439" s="5">
        <v>22.224999999999998</v>
      </c>
      <c r="G439" s="5">
        <f t="shared" si="37"/>
        <v>1</v>
      </c>
      <c r="H439" s="6" t="str">
        <f t="shared" si="38"/>
        <v>SLBB</v>
      </c>
      <c r="I439" s="5">
        <v>25.323799999999999</v>
      </c>
      <c r="J439" s="5">
        <f t="shared" si="39"/>
        <v>0</v>
      </c>
      <c r="K439" s="5">
        <v>0.61199999999999999</v>
      </c>
      <c r="L439" s="5">
        <v>8782483.0801599994</v>
      </c>
      <c r="M439" s="5">
        <v>13.5</v>
      </c>
      <c r="N439" s="5">
        <v>7.02</v>
      </c>
      <c r="O439" s="5">
        <v>26.416</v>
      </c>
      <c r="P439" s="5">
        <v>144432304.68319997</v>
      </c>
      <c r="Q439" s="5">
        <v>1079907.5175999999</v>
      </c>
      <c r="R439" s="5">
        <v>678424.44959999993</v>
      </c>
      <c r="S439" s="5">
        <v>106.934</v>
      </c>
      <c r="T439" s="5">
        <f t="shared" si="40"/>
        <v>1</v>
      </c>
      <c r="U439" s="5">
        <f t="shared" si="41"/>
        <v>1</v>
      </c>
      <c r="V439" s="5">
        <f t="shared" si="42"/>
        <v>1</v>
      </c>
      <c r="W439" s="5">
        <v>110.99799999999999</v>
      </c>
      <c r="X439" s="5">
        <v>0.98399999999999999</v>
      </c>
    </row>
    <row r="440" spans="1:24" x14ac:dyDescent="0.25">
      <c r="A440" s="5" t="s">
        <v>764</v>
      </c>
      <c r="B440" s="5">
        <v>85.420610155999995</v>
      </c>
      <c r="C440" s="5">
        <v>10967.72</v>
      </c>
      <c r="D440" s="6">
        <v>101.6</v>
      </c>
      <c r="E440" s="6">
        <v>203.2</v>
      </c>
      <c r="F440" s="5">
        <v>19.049999999999997</v>
      </c>
      <c r="G440" s="5">
        <f t="shared" si="37"/>
        <v>1</v>
      </c>
      <c r="H440" s="6" t="str">
        <f t="shared" si="38"/>
        <v>SLBB</v>
      </c>
      <c r="I440" s="5">
        <v>24.104599999999998</v>
      </c>
      <c r="J440" s="5">
        <f t="shared" si="39"/>
        <v>0</v>
      </c>
      <c r="K440" s="5">
        <v>0.53100000000000003</v>
      </c>
      <c r="L440" s="5">
        <v>7783527.6587199988</v>
      </c>
      <c r="M440" s="5">
        <v>11.6</v>
      </c>
      <c r="N440" s="5">
        <v>6.14</v>
      </c>
      <c r="O440" s="5">
        <v>26.669999999999998</v>
      </c>
      <c r="P440" s="5">
        <v>106971476.3792</v>
      </c>
      <c r="Q440" s="5">
        <v>817714.49359999993</v>
      </c>
      <c r="R440" s="5">
        <v>526024.75439999998</v>
      </c>
      <c r="S440" s="5">
        <v>98.805999999999997</v>
      </c>
      <c r="T440" s="5">
        <f t="shared" si="40"/>
        <v>1</v>
      </c>
      <c r="U440" s="5">
        <f t="shared" si="41"/>
        <v>1</v>
      </c>
      <c r="V440" s="5">
        <f t="shared" si="42"/>
        <v>1</v>
      </c>
      <c r="W440" s="5">
        <v>103.378</v>
      </c>
      <c r="X440" s="5">
        <v>0.98</v>
      </c>
    </row>
    <row r="441" spans="1:24" x14ac:dyDescent="0.25">
      <c r="A441" s="5" t="s">
        <v>765</v>
      </c>
      <c r="B441" s="5">
        <v>85.420610155999995</v>
      </c>
      <c r="C441" s="5">
        <v>10967.72</v>
      </c>
      <c r="D441" s="6">
        <v>101.6</v>
      </c>
      <c r="E441" s="6">
        <v>203.2</v>
      </c>
      <c r="F441" s="5">
        <v>19.049999999999997</v>
      </c>
      <c r="G441" s="5">
        <f t="shared" si="37"/>
        <v>1</v>
      </c>
      <c r="H441" s="6" t="str">
        <f t="shared" si="38"/>
        <v>SLBB</v>
      </c>
      <c r="I441" s="5">
        <v>24.104599999999998</v>
      </c>
      <c r="J441" s="5">
        <f t="shared" si="39"/>
        <v>0</v>
      </c>
      <c r="K441" s="5">
        <v>0.53100000000000003</v>
      </c>
      <c r="L441" s="5">
        <v>7783527.6587199988</v>
      </c>
      <c r="M441" s="5">
        <v>11.6</v>
      </c>
      <c r="N441" s="5">
        <v>6.14</v>
      </c>
      <c r="O441" s="5">
        <v>26.669999999999998</v>
      </c>
      <c r="P441" s="5">
        <v>114879873.46559998</v>
      </c>
      <c r="Q441" s="5">
        <v>870153.0983999999</v>
      </c>
      <c r="R441" s="5">
        <v>552244.05680000002</v>
      </c>
      <c r="S441" s="5">
        <v>102.36199999999999</v>
      </c>
      <c r="T441" s="5">
        <f t="shared" si="40"/>
        <v>1</v>
      </c>
      <c r="U441" s="5">
        <f t="shared" si="41"/>
        <v>1</v>
      </c>
      <c r="V441" s="5">
        <f t="shared" si="42"/>
        <v>1</v>
      </c>
      <c r="W441" s="5">
        <v>106.67999999999999</v>
      </c>
      <c r="X441" s="5">
        <v>0.98099999999999998</v>
      </c>
    </row>
    <row r="442" spans="1:24" x14ac:dyDescent="0.25">
      <c r="A442" s="5" t="s">
        <v>766</v>
      </c>
      <c r="B442" s="5">
        <v>85.420610155999995</v>
      </c>
      <c r="C442" s="5">
        <v>10967.72</v>
      </c>
      <c r="D442" s="6">
        <v>101.6</v>
      </c>
      <c r="E442" s="6">
        <v>203.2</v>
      </c>
      <c r="F442" s="5">
        <v>19.049999999999997</v>
      </c>
      <c r="G442" s="5">
        <f t="shared" si="37"/>
        <v>1</v>
      </c>
      <c r="H442" s="6" t="str">
        <f t="shared" si="38"/>
        <v>SLBB</v>
      </c>
      <c r="I442" s="5">
        <v>24.104599999999998</v>
      </c>
      <c r="J442" s="5">
        <f t="shared" si="39"/>
        <v>0</v>
      </c>
      <c r="K442" s="5">
        <v>0.53100000000000003</v>
      </c>
      <c r="L442" s="5">
        <v>7783527.6587199988</v>
      </c>
      <c r="M442" s="5">
        <v>11.6</v>
      </c>
      <c r="N442" s="5">
        <v>6.14</v>
      </c>
      <c r="O442" s="5">
        <v>26.669999999999998</v>
      </c>
      <c r="P442" s="5">
        <v>123620733.40319999</v>
      </c>
      <c r="Q442" s="5">
        <v>922591.70319999987</v>
      </c>
      <c r="R442" s="5">
        <v>581740.772</v>
      </c>
      <c r="S442" s="5">
        <v>106.17199999999998</v>
      </c>
      <c r="T442" s="5">
        <f t="shared" si="40"/>
        <v>1</v>
      </c>
      <c r="U442" s="5">
        <f t="shared" si="41"/>
        <v>1</v>
      </c>
      <c r="V442" s="5">
        <f t="shared" si="42"/>
        <v>1</v>
      </c>
      <c r="W442" s="5">
        <v>110.48999999999998</v>
      </c>
      <c r="X442" s="5">
        <v>0.98299999999999998</v>
      </c>
    </row>
    <row r="443" spans="1:24" x14ac:dyDescent="0.25">
      <c r="A443" s="5" t="s">
        <v>767</v>
      </c>
      <c r="B443" s="5">
        <v>72.02713469599999</v>
      </c>
      <c r="C443" s="5">
        <v>9225.7880000000005</v>
      </c>
      <c r="D443" s="6">
        <v>101.6</v>
      </c>
      <c r="E443" s="6">
        <v>203.2</v>
      </c>
      <c r="F443" s="5">
        <v>15.875</v>
      </c>
      <c r="G443" s="5">
        <f t="shared" si="37"/>
        <v>1</v>
      </c>
      <c r="H443" s="6" t="str">
        <f t="shared" si="38"/>
        <v>SLBB</v>
      </c>
      <c r="I443" s="5">
        <v>22.910799999999998</v>
      </c>
      <c r="J443" s="5">
        <f t="shared" si="39"/>
        <v>0</v>
      </c>
      <c r="K443" s="5">
        <v>0.44800000000000001</v>
      </c>
      <c r="L443" s="5">
        <v>6742949.0947199995</v>
      </c>
      <c r="M443" s="5">
        <v>9.73</v>
      </c>
      <c r="N443" s="5">
        <v>5.23</v>
      </c>
      <c r="O443" s="5">
        <v>26.923999999999999</v>
      </c>
      <c r="P443" s="5">
        <v>88657293.652799994</v>
      </c>
      <c r="Q443" s="5">
        <v>678424.44959999993</v>
      </c>
      <c r="R443" s="5">
        <v>435895.90239999996</v>
      </c>
      <c r="S443" s="5">
        <v>98.043999999999997</v>
      </c>
      <c r="T443" s="5">
        <f t="shared" si="40"/>
        <v>1</v>
      </c>
      <c r="U443" s="5">
        <f t="shared" si="41"/>
        <v>1</v>
      </c>
      <c r="V443" s="5">
        <f t="shared" si="42"/>
        <v>1</v>
      </c>
      <c r="W443" s="5">
        <v>102.86999999999999</v>
      </c>
      <c r="X443" s="5">
        <v>0.97899999999999998</v>
      </c>
    </row>
    <row r="444" spans="1:24" x14ac:dyDescent="0.25">
      <c r="A444" s="5" t="s">
        <v>768</v>
      </c>
      <c r="B444" s="5">
        <v>72.02713469599999</v>
      </c>
      <c r="C444" s="5">
        <v>9225.7880000000005</v>
      </c>
      <c r="D444" s="6">
        <v>101.6</v>
      </c>
      <c r="E444" s="6">
        <v>203.2</v>
      </c>
      <c r="F444" s="5">
        <v>15.875</v>
      </c>
      <c r="G444" s="5">
        <f t="shared" si="37"/>
        <v>1</v>
      </c>
      <c r="H444" s="6" t="str">
        <f t="shared" si="38"/>
        <v>SLBB</v>
      </c>
      <c r="I444" s="5">
        <v>22.910799999999998</v>
      </c>
      <c r="J444" s="5">
        <f t="shared" si="39"/>
        <v>0</v>
      </c>
      <c r="K444" s="5">
        <v>0.44800000000000001</v>
      </c>
      <c r="L444" s="5">
        <v>6742949.0947199995</v>
      </c>
      <c r="M444" s="5">
        <v>9.73</v>
      </c>
      <c r="N444" s="5">
        <v>5.23</v>
      </c>
      <c r="O444" s="5">
        <v>26.923999999999999</v>
      </c>
      <c r="P444" s="5">
        <v>95316996.462399989</v>
      </c>
      <c r="Q444" s="5">
        <v>722669.5223999999</v>
      </c>
      <c r="R444" s="5">
        <v>458837.79199999996</v>
      </c>
      <c r="S444" s="5">
        <v>101.6</v>
      </c>
      <c r="T444" s="5">
        <f t="shared" si="40"/>
        <v>1</v>
      </c>
      <c r="U444" s="5">
        <f t="shared" si="41"/>
        <v>1</v>
      </c>
      <c r="V444" s="5">
        <f t="shared" si="42"/>
        <v>1</v>
      </c>
      <c r="W444" s="5">
        <v>106.17199999999998</v>
      </c>
      <c r="X444" s="5">
        <v>0.98</v>
      </c>
    </row>
    <row r="445" spans="1:24" x14ac:dyDescent="0.25">
      <c r="A445" s="5" t="s">
        <v>769</v>
      </c>
      <c r="B445" s="5">
        <v>72.02713469599999</v>
      </c>
      <c r="C445" s="5">
        <v>9225.7880000000005</v>
      </c>
      <c r="D445" s="6">
        <v>101.6</v>
      </c>
      <c r="E445" s="6">
        <v>203.2</v>
      </c>
      <c r="F445" s="5">
        <v>15.875</v>
      </c>
      <c r="G445" s="5">
        <f t="shared" si="37"/>
        <v>1</v>
      </c>
      <c r="H445" s="6" t="str">
        <f t="shared" si="38"/>
        <v>SLBB</v>
      </c>
      <c r="I445" s="5">
        <v>22.910799999999998</v>
      </c>
      <c r="J445" s="5">
        <f t="shared" si="39"/>
        <v>0</v>
      </c>
      <c r="K445" s="5">
        <v>0.44800000000000001</v>
      </c>
      <c r="L445" s="5">
        <v>6742949.0947199995</v>
      </c>
      <c r="M445" s="5">
        <v>9.73</v>
      </c>
      <c r="N445" s="5">
        <v>5.23</v>
      </c>
      <c r="O445" s="5">
        <v>26.923999999999999</v>
      </c>
      <c r="P445" s="5">
        <v>102392930.69759999</v>
      </c>
      <c r="Q445" s="5">
        <v>766914.59519999987</v>
      </c>
      <c r="R445" s="5">
        <v>481779.68159999995</v>
      </c>
      <c r="S445" s="5">
        <v>105.41</v>
      </c>
      <c r="T445" s="5">
        <f t="shared" si="40"/>
        <v>1</v>
      </c>
      <c r="U445" s="5">
        <f t="shared" si="41"/>
        <v>1</v>
      </c>
      <c r="V445" s="5">
        <f t="shared" si="42"/>
        <v>1</v>
      </c>
      <c r="W445" s="5">
        <v>109.72799999999999</v>
      </c>
      <c r="X445" s="5">
        <v>0.98099999999999998</v>
      </c>
    </row>
    <row r="446" spans="1:24" x14ac:dyDescent="0.25">
      <c r="A446" s="5" t="s">
        <v>770</v>
      </c>
      <c r="B446" s="5">
        <v>65.181580571999987</v>
      </c>
      <c r="C446" s="5">
        <v>8387.08</v>
      </c>
      <c r="D446" s="6">
        <v>101.6</v>
      </c>
      <c r="E446" s="6">
        <v>203.2</v>
      </c>
      <c r="F446" s="5">
        <v>14.300199999999998</v>
      </c>
      <c r="G446" s="5">
        <f t="shared" si="37"/>
        <v>1</v>
      </c>
      <c r="H446" s="6" t="str">
        <f t="shared" si="38"/>
        <v>SLBB</v>
      </c>
      <c r="I446" s="5">
        <v>22.301199999999998</v>
      </c>
      <c r="J446" s="5">
        <f t="shared" si="39"/>
        <v>0</v>
      </c>
      <c r="K446" s="5">
        <v>0.40600000000000003</v>
      </c>
      <c r="L446" s="5">
        <v>6201848.2414399991</v>
      </c>
      <c r="M446" s="5">
        <v>8.77</v>
      </c>
      <c r="N446" s="5">
        <v>4.7699999999999996</v>
      </c>
      <c r="O446" s="5">
        <v>27.178000000000001</v>
      </c>
      <c r="P446" s="5">
        <v>80332665.140799999</v>
      </c>
      <c r="Q446" s="5">
        <v>607960.07439999992</v>
      </c>
      <c r="R446" s="5">
        <v>394928.24239999999</v>
      </c>
      <c r="S446" s="5">
        <v>97.789999999999992</v>
      </c>
      <c r="T446" s="5">
        <f t="shared" si="40"/>
        <v>1</v>
      </c>
      <c r="U446" s="5">
        <f t="shared" si="41"/>
        <v>1</v>
      </c>
      <c r="V446" s="5">
        <f t="shared" si="42"/>
        <v>1</v>
      </c>
      <c r="W446" s="5">
        <v>102.616</v>
      </c>
      <c r="X446" s="5">
        <v>0.97799999999999998</v>
      </c>
    </row>
    <row r="447" spans="1:24" x14ac:dyDescent="0.25">
      <c r="A447" s="5" t="s">
        <v>771</v>
      </c>
      <c r="B447" s="5">
        <v>65.181580571999987</v>
      </c>
      <c r="C447" s="5">
        <v>8387.08</v>
      </c>
      <c r="D447" s="6">
        <v>101.6</v>
      </c>
      <c r="E447" s="6">
        <v>203.2</v>
      </c>
      <c r="F447" s="5">
        <v>14.300199999999998</v>
      </c>
      <c r="G447" s="5">
        <f t="shared" si="37"/>
        <v>1</v>
      </c>
      <c r="H447" s="6" t="str">
        <f t="shared" si="38"/>
        <v>SLBB</v>
      </c>
      <c r="I447" s="5">
        <v>22.301199999999998</v>
      </c>
      <c r="J447" s="5">
        <f t="shared" si="39"/>
        <v>0</v>
      </c>
      <c r="K447" s="5">
        <v>0.40600000000000003</v>
      </c>
      <c r="L447" s="5">
        <v>6201848.2414399991</v>
      </c>
      <c r="M447" s="5">
        <v>8.77</v>
      </c>
      <c r="N447" s="5">
        <v>4.7699999999999996</v>
      </c>
      <c r="O447" s="5">
        <v>27.178000000000001</v>
      </c>
      <c r="P447" s="5">
        <v>86159905.099199995</v>
      </c>
      <c r="Q447" s="5">
        <v>648927.73439999996</v>
      </c>
      <c r="R447" s="5">
        <v>414592.71919999999</v>
      </c>
      <c r="S447" s="5">
        <v>101.346</v>
      </c>
      <c r="T447" s="5">
        <f t="shared" si="40"/>
        <v>1</v>
      </c>
      <c r="U447" s="5">
        <f t="shared" si="41"/>
        <v>1</v>
      </c>
      <c r="V447" s="5">
        <f t="shared" si="42"/>
        <v>1</v>
      </c>
      <c r="W447" s="5">
        <v>105.91799999999999</v>
      </c>
      <c r="X447" s="5">
        <v>0.98</v>
      </c>
    </row>
    <row r="448" spans="1:24" x14ac:dyDescent="0.25">
      <c r="A448" s="5" t="s">
        <v>772</v>
      </c>
      <c r="B448" s="5">
        <v>65.181580571999987</v>
      </c>
      <c r="C448" s="5">
        <v>8387.08</v>
      </c>
      <c r="D448" s="6">
        <v>101.6</v>
      </c>
      <c r="E448" s="6">
        <v>203.2</v>
      </c>
      <c r="F448" s="5">
        <v>14.300199999999998</v>
      </c>
      <c r="G448" s="5">
        <f t="shared" si="37"/>
        <v>1</v>
      </c>
      <c r="H448" s="6" t="str">
        <f t="shared" si="38"/>
        <v>SLBB</v>
      </c>
      <c r="I448" s="5">
        <v>22.301199999999998</v>
      </c>
      <c r="J448" s="5">
        <f t="shared" si="39"/>
        <v>0</v>
      </c>
      <c r="K448" s="5">
        <v>0.40600000000000003</v>
      </c>
      <c r="L448" s="5">
        <v>6201848.2414399991</v>
      </c>
      <c r="M448" s="5">
        <v>8.77</v>
      </c>
      <c r="N448" s="5">
        <v>4.7699999999999996</v>
      </c>
      <c r="O448" s="5">
        <v>27.178000000000001</v>
      </c>
      <c r="P448" s="5">
        <v>92403376.483199984</v>
      </c>
      <c r="Q448" s="5">
        <v>688256.68799999997</v>
      </c>
      <c r="R448" s="5">
        <v>434257.19599999994</v>
      </c>
      <c r="S448" s="5">
        <v>104.90199999999999</v>
      </c>
      <c r="T448" s="5">
        <f t="shared" si="40"/>
        <v>1</v>
      </c>
      <c r="U448" s="5">
        <f t="shared" si="41"/>
        <v>1</v>
      </c>
      <c r="V448" s="5">
        <f t="shared" si="42"/>
        <v>1</v>
      </c>
      <c r="W448" s="5">
        <v>109.47399999999999</v>
      </c>
      <c r="X448" s="5">
        <v>0.98099999999999998</v>
      </c>
    </row>
    <row r="449" spans="1:24" x14ac:dyDescent="0.25">
      <c r="A449" s="5" t="s">
        <v>773</v>
      </c>
      <c r="B449" s="5">
        <v>58.336026448000005</v>
      </c>
      <c r="C449" s="5">
        <v>7483.8559999999998</v>
      </c>
      <c r="D449" s="6">
        <v>101.6</v>
      </c>
      <c r="E449" s="6">
        <v>203.2</v>
      </c>
      <c r="F449" s="5">
        <v>12.7</v>
      </c>
      <c r="G449" s="5">
        <f t="shared" si="37"/>
        <v>1</v>
      </c>
      <c r="H449" s="6" t="str">
        <f t="shared" si="38"/>
        <v>SLBB</v>
      </c>
      <c r="I449" s="5">
        <v>21.691599999999998</v>
      </c>
      <c r="J449" s="5">
        <f t="shared" si="39"/>
        <v>0</v>
      </c>
      <c r="K449" s="5">
        <v>0.36299999999999999</v>
      </c>
      <c r="L449" s="5">
        <v>5619124.2455999991</v>
      </c>
      <c r="M449" s="5">
        <v>7.81</v>
      </c>
      <c r="N449" s="5">
        <v>4.29</v>
      </c>
      <c r="O449" s="5">
        <v>27.431999999999999</v>
      </c>
      <c r="P449" s="5">
        <v>70759342.351999998</v>
      </c>
      <c r="Q449" s="5">
        <v>539134.40559999994</v>
      </c>
      <c r="R449" s="5">
        <v>347405.75679999997</v>
      </c>
      <c r="S449" s="5">
        <v>97.281999999999996</v>
      </c>
      <c r="T449" s="5">
        <f t="shared" si="40"/>
        <v>1</v>
      </c>
      <c r="U449" s="5">
        <f t="shared" si="41"/>
        <v>1</v>
      </c>
      <c r="V449" s="5">
        <f t="shared" si="42"/>
        <v>1</v>
      </c>
      <c r="W449" s="5">
        <v>102.36199999999999</v>
      </c>
      <c r="X449" s="5">
        <v>0.97799999999999998</v>
      </c>
    </row>
    <row r="450" spans="1:24" x14ac:dyDescent="0.25">
      <c r="A450" s="5" t="s">
        <v>774</v>
      </c>
      <c r="B450" s="5">
        <v>58.336026448000005</v>
      </c>
      <c r="C450" s="5">
        <v>7483.8559999999998</v>
      </c>
      <c r="D450" s="6">
        <v>101.6</v>
      </c>
      <c r="E450" s="6">
        <v>203.2</v>
      </c>
      <c r="F450" s="5">
        <v>12.7</v>
      </c>
      <c r="G450" s="5">
        <f t="shared" si="37"/>
        <v>1</v>
      </c>
      <c r="H450" s="6" t="str">
        <f t="shared" si="38"/>
        <v>SLBB</v>
      </c>
      <c r="I450" s="5">
        <v>21.691599999999998</v>
      </c>
      <c r="J450" s="5">
        <f t="shared" si="39"/>
        <v>0</v>
      </c>
      <c r="K450" s="5">
        <v>0.36299999999999999</v>
      </c>
      <c r="L450" s="5">
        <v>5619124.2455999991</v>
      </c>
      <c r="M450" s="5">
        <v>7.81</v>
      </c>
      <c r="N450" s="5">
        <v>4.29</v>
      </c>
      <c r="O450" s="5">
        <v>27.431999999999999</v>
      </c>
      <c r="P450" s="5">
        <v>76170350.884799987</v>
      </c>
      <c r="Q450" s="5">
        <v>575185.94640000002</v>
      </c>
      <c r="R450" s="5">
        <v>367070.23359999992</v>
      </c>
      <c r="S450" s="5">
        <v>100.83799999999999</v>
      </c>
      <c r="T450" s="5">
        <f t="shared" si="40"/>
        <v>1</v>
      </c>
      <c r="U450" s="5">
        <f t="shared" si="41"/>
        <v>1</v>
      </c>
      <c r="V450" s="5">
        <f t="shared" si="42"/>
        <v>1</v>
      </c>
      <c r="W450" s="5">
        <v>105.664</v>
      </c>
      <c r="X450" s="5">
        <v>0.97899999999999998</v>
      </c>
    </row>
    <row r="451" spans="1:24" x14ac:dyDescent="0.25">
      <c r="A451" s="5" t="s">
        <v>775</v>
      </c>
      <c r="B451" s="5">
        <v>58.336026448000005</v>
      </c>
      <c r="C451" s="5">
        <v>7483.8559999999998</v>
      </c>
      <c r="D451" s="6">
        <v>101.6</v>
      </c>
      <c r="E451" s="6">
        <v>203.2</v>
      </c>
      <c r="F451" s="5">
        <v>12.7</v>
      </c>
      <c r="G451" s="5">
        <f t="shared" si="37"/>
        <v>1</v>
      </c>
      <c r="H451" s="6" t="str">
        <f t="shared" si="38"/>
        <v>SLBB</v>
      </c>
      <c r="I451" s="5">
        <v>21.691599999999998</v>
      </c>
      <c r="J451" s="5">
        <f t="shared" si="39"/>
        <v>0</v>
      </c>
      <c r="K451" s="5">
        <v>0.36299999999999999</v>
      </c>
      <c r="L451" s="5">
        <v>5619124.2455999991</v>
      </c>
      <c r="M451" s="5">
        <v>7.81</v>
      </c>
      <c r="N451" s="5">
        <v>4.29</v>
      </c>
      <c r="O451" s="5">
        <v>27.431999999999999</v>
      </c>
      <c r="P451" s="5">
        <v>81997590.843199998</v>
      </c>
      <c r="Q451" s="5">
        <v>611237.48719999986</v>
      </c>
      <c r="R451" s="5">
        <v>385096.00399999996</v>
      </c>
      <c r="S451" s="5">
        <v>104.648</v>
      </c>
      <c r="T451" s="5">
        <f t="shared" si="40"/>
        <v>1</v>
      </c>
      <c r="U451" s="5">
        <f t="shared" si="41"/>
        <v>1</v>
      </c>
      <c r="V451" s="5">
        <f t="shared" si="42"/>
        <v>1</v>
      </c>
      <c r="W451" s="5">
        <v>109.21999999999998</v>
      </c>
      <c r="X451" s="5">
        <v>0.98</v>
      </c>
    </row>
    <row r="452" spans="1:24" x14ac:dyDescent="0.25">
      <c r="A452" s="5" t="s">
        <v>776</v>
      </c>
      <c r="B452" s="5">
        <v>51.192839535999994</v>
      </c>
      <c r="C452" s="5">
        <v>6580.6319999999996</v>
      </c>
      <c r="D452" s="6">
        <v>101.6</v>
      </c>
      <c r="E452" s="6">
        <v>203.2</v>
      </c>
      <c r="F452" s="5">
        <v>11.1252</v>
      </c>
      <c r="G452" s="5">
        <f t="shared" ref="G452:G515" si="43">G451</f>
        <v>1</v>
      </c>
      <c r="H452" s="6" t="str">
        <f t="shared" ref="H452:H515" si="44">H451</f>
        <v>SLBB</v>
      </c>
      <c r="I452" s="5">
        <v>21.0566</v>
      </c>
      <c r="J452" s="5">
        <f t="shared" ref="J452:J515" si="45">J451</f>
        <v>0</v>
      </c>
      <c r="K452" s="5">
        <v>0.31900000000000001</v>
      </c>
      <c r="L452" s="5">
        <v>5036400.2497599991</v>
      </c>
      <c r="M452" s="5">
        <v>6.85</v>
      </c>
      <c r="N452" s="5">
        <v>3.81</v>
      </c>
      <c r="O452" s="5">
        <v>27.686</v>
      </c>
      <c r="P452" s="5">
        <v>62018482.414399996</v>
      </c>
      <c r="Q452" s="5">
        <v>470308.73679999996</v>
      </c>
      <c r="R452" s="5">
        <v>304799.39039999997</v>
      </c>
      <c r="S452" s="5">
        <v>97.027999999999992</v>
      </c>
      <c r="T452" s="5">
        <f t="shared" ref="T452:T515" si="46">T451</f>
        <v>1</v>
      </c>
      <c r="U452" s="5">
        <f t="shared" ref="U452:U515" si="47">U451</f>
        <v>1</v>
      </c>
      <c r="V452" s="5">
        <f t="shared" ref="V452:V515" si="48">V451</f>
        <v>1</v>
      </c>
      <c r="W452" s="5">
        <v>102.10799999999999</v>
      </c>
      <c r="X452" s="5">
        <v>0.97699999999999998</v>
      </c>
    </row>
    <row r="453" spans="1:24" x14ac:dyDescent="0.25">
      <c r="A453" s="5" t="s">
        <v>777</v>
      </c>
      <c r="B453" s="5">
        <v>51.192839535999994</v>
      </c>
      <c r="C453" s="5">
        <v>6580.6319999999996</v>
      </c>
      <c r="D453" s="6">
        <v>101.6</v>
      </c>
      <c r="E453" s="6">
        <v>203.2</v>
      </c>
      <c r="F453" s="5">
        <v>11.1252</v>
      </c>
      <c r="G453" s="5">
        <f t="shared" si="43"/>
        <v>1</v>
      </c>
      <c r="H453" s="6" t="str">
        <f t="shared" si="44"/>
        <v>SLBB</v>
      </c>
      <c r="I453" s="5">
        <v>21.0566</v>
      </c>
      <c r="J453" s="5">
        <f t="shared" si="45"/>
        <v>0</v>
      </c>
      <c r="K453" s="5">
        <v>0.31900000000000001</v>
      </c>
      <c r="L453" s="5">
        <v>5036400.2497599991</v>
      </c>
      <c r="M453" s="5">
        <v>6.85</v>
      </c>
      <c r="N453" s="5">
        <v>3.81</v>
      </c>
      <c r="O453" s="5">
        <v>27.686</v>
      </c>
      <c r="P453" s="5">
        <v>66597028.095999993</v>
      </c>
      <c r="Q453" s="5">
        <v>501444.15839999996</v>
      </c>
      <c r="R453" s="5">
        <v>319547.74799999996</v>
      </c>
      <c r="S453" s="5">
        <v>100.58399999999999</v>
      </c>
      <c r="T453" s="5">
        <f t="shared" si="46"/>
        <v>1</v>
      </c>
      <c r="U453" s="5">
        <f t="shared" si="47"/>
        <v>1</v>
      </c>
      <c r="V453" s="5">
        <f t="shared" si="48"/>
        <v>1</v>
      </c>
      <c r="W453" s="5">
        <v>105.41</v>
      </c>
      <c r="X453" s="5">
        <v>0.97799999999999998</v>
      </c>
    </row>
    <row r="454" spans="1:24" x14ac:dyDescent="0.25">
      <c r="A454" s="5" t="s">
        <v>778</v>
      </c>
      <c r="B454" s="5">
        <v>51.192839535999994</v>
      </c>
      <c r="C454" s="5">
        <v>6580.6319999999996</v>
      </c>
      <c r="D454" s="6">
        <v>101.6</v>
      </c>
      <c r="E454" s="6">
        <v>203.2</v>
      </c>
      <c r="F454" s="5">
        <v>11.1252</v>
      </c>
      <c r="G454" s="5">
        <f t="shared" si="43"/>
        <v>1</v>
      </c>
      <c r="H454" s="6" t="str">
        <f t="shared" si="44"/>
        <v>SLBB</v>
      </c>
      <c r="I454" s="5">
        <v>21.0566</v>
      </c>
      <c r="J454" s="5">
        <f t="shared" si="45"/>
        <v>0</v>
      </c>
      <c r="K454" s="5">
        <v>0.31900000000000001</v>
      </c>
      <c r="L454" s="5">
        <v>5036400.2497599991</v>
      </c>
      <c r="M454" s="5">
        <v>6.85</v>
      </c>
      <c r="N454" s="5">
        <v>3.81</v>
      </c>
      <c r="O454" s="5">
        <v>27.686</v>
      </c>
      <c r="P454" s="5">
        <v>71175573.77759999</v>
      </c>
      <c r="Q454" s="5">
        <v>534218.28639999998</v>
      </c>
      <c r="R454" s="5">
        <v>334296.10559999995</v>
      </c>
      <c r="S454" s="5">
        <v>104.13999999999999</v>
      </c>
      <c r="T454" s="5">
        <f t="shared" si="46"/>
        <v>1</v>
      </c>
      <c r="U454" s="5">
        <f t="shared" si="47"/>
        <v>1</v>
      </c>
      <c r="V454" s="5">
        <f t="shared" si="48"/>
        <v>1</v>
      </c>
      <c r="W454" s="5">
        <v>108.96599999999999</v>
      </c>
      <c r="X454" s="5">
        <v>0.98</v>
      </c>
    </row>
    <row r="455" spans="1:24" x14ac:dyDescent="0.25">
      <c r="A455" s="5" t="s">
        <v>779</v>
      </c>
      <c r="B455" s="5">
        <v>77.979790455999989</v>
      </c>
      <c r="C455" s="5">
        <v>9999.98</v>
      </c>
      <c r="D455" s="6">
        <v>101.6</v>
      </c>
      <c r="E455" s="6">
        <v>177.79999999999998</v>
      </c>
      <c r="F455" s="5">
        <v>19.049999999999997</v>
      </c>
      <c r="G455" s="5">
        <f t="shared" si="43"/>
        <v>1</v>
      </c>
      <c r="H455" s="6" t="str">
        <f t="shared" si="44"/>
        <v>SLBB</v>
      </c>
      <c r="I455" s="5">
        <v>25.4</v>
      </c>
      <c r="J455" s="5">
        <f t="shared" si="45"/>
        <v>0</v>
      </c>
      <c r="K455" s="5">
        <v>0.55300000000000005</v>
      </c>
      <c r="L455" s="5">
        <v>7492165.6607999988</v>
      </c>
      <c r="M455" s="5">
        <v>11.2</v>
      </c>
      <c r="N455" s="5">
        <v>6.01</v>
      </c>
      <c r="O455" s="5">
        <v>27.431999999999999</v>
      </c>
      <c r="P455" s="5">
        <v>72008036.62879999</v>
      </c>
      <c r="Q455" s="5">
        <v>634179.37679999997</v>
      </c>
      <c r="R455" s="5">
        <v>404760.48079999996</v>
      </c>
      <c r="S455" s="5">
        <v>84.835999999999999</v>
      </c>
      <c r="T455" s="5">
        <f t="shared" si="46"/>
        <v>1</v>
      </c>
      <c r="U455" s="5">
        <f t="shared" si="47"/>
        <v>1</v>
      </c>
      <c r="V455" s="5">
        <f t="shared" si="48"/>
        <v>1</v>
      </c>
      <c r="W455" s="5">
        <v>90.677999999999997</v>
      </c>
      <c r="X455" s="5">
        <v>0.96899999999999997</v>
      </c>
    </row>
    <row r="456" spans="1:24" x14ac:dyDescent="0.25">
      <c r="A456" s="5" t="s">
        <v>780</v>
      </c>
      <c r="B456" s="5">
        <v>77.979790455999989</v>
      </c>
      <c r="C456" s="5">
        <v>9999.98</v>
      </c>
      <c r="D456" s="6">
        <v>101.6</v>
      </c>
      <c r="E456" s="6">
        <v>177.79999999999998</v>
      </c>
      <c r="F456" s="5">
        <v>19.049999999999997</v>
      </c>
      <c r="G456" s="5">
        <f t="shared" si="43"/>
        <v>1</v>
      </c>
      <c r="H456" s="6" t="str">
        <f t="shared" si="44"/>
        <v>SLBB</v>
      </c>
      <c r="I456" s="5">
        <v>25.4</v>
      </c>
      <c r="J456" s="5">
        <f t="shared" si="45"/>
        <v>0</v>
      </c>
      <c r="K456" s="5">
        <v>0.55300000000000005</v>
      </c>
      <c r="L456" s="5">
        <v>7492165.6607999988</v>
      </c>
      <c r="M456" s="5">
        <v>11.2</v>
      </c>
      <c r="N456" s="5">
        <v>6.01</v>
      </c>
      <c r="O456" s="5">
        <v>27.431999999999999</v>
      </c>
      <c r="P456" s="5">
        <v>78251508.012799993</v>
      </c>
      <c r="Q456" s="5">
        <v>681701.86239999998</v>
      </c>
      <c r="R456" s="5">
        <v>429341.07679999992</v>
      </c>
      <c r="S456" s="5">
        <v>88.391999999999996</v>
      </c>
      <c r="T456" s="5">
        <f t="shared" si="46"/>
        <v>1</v>
      </c>
      <c r="U456" s="5">
        <f t="shared" si="47"/>
        <v>1</v>
      </c>
      <c r="V456" s="5">
        <f t="shared" si="48"/>
        <v>1</v>
      </c>
      <c r="W456" s="5">
        <v>93.98</v>
      </c>
      <c r="X456" s="5">
        <v>0.97099999999999997</v>
      </c>
    </row>
    <row r="457" spans="1:24" x14ac:dyDescent="0.25">
      <c r="A457" s="5" t="s">
        <v>781</v>
      </c>
      <c r="B457" s="5">
        <v>77.979790455999989</v>
      </c>
      <c r="C457" s="5">
        <v>9999.98</v>
      </c>
      <c r="D457" s="6">
        <v>101.6</v>
      </c>
      <c r="E457" s="6">
        <v>177.79999999999998</v>
      </c>
      <c r="F457" s="5">
        <v>19.049999999999997</v>
      </c>
      <c r="G457" s="5">
        <f t="shared" si="43"/>
        <v>1</v>
      </c>
      <c r="H457" s="6" t="str">
        <f t="shared" si="44"/>
        <v>SLBB</v>
      </c>
      <c r="I457" s="5">
        <v>25.4</v>
      </c>
      <c r="J457" s="5">
        <f t="shared" si="45"/>
        <v>0</v>
      </c>
      <c r="K457" s="5">
        <v>0.55300000000000005</v>
      </c>
      <c r="L457" s="5">
        <v>7492165.6607999988</v>
      </c>
      <c r="M457" s="5">
        <v>11.2</v>
      </c>
      <c r="N457" s="5">
        <v>6.01</v>
      </c>
      <c r="O457" s="5">
        <v>27.431999999999999</v>
      </c>
      <c r="P457" s="5">
        <v>84911210.822399989</v>
      </c>
      <c r="Q457" s="5">
        <v>729224.34799999988</v>
      </c>
      <c r="R457" s="5">
        <v>453921.67279999994</v>
      </c>
      <c r="S457" s="5">
        <v>92.201999999999998</v>
      </c>
      <c r="T457" s="5">
        <f t="shared" si="46"/>
        <v>1</v>
      </c>
      <c r="U457" s="5">
        <f t="shared" si="47"/>
        <v>1</v>
      </c>
      <c r="V457" s="5">
        <f t="shared" si="48"/>
        <v>1</v>
      </c>
      <c r="W457" s="5">
        <v>97.535999999999987</v>
      </c>
      <c r="X457" s="5">
        <v>0.97299999999999998</v>
      </c>
    </row>
    <row r="458" spans="1:24" x14ac:dyDescent="0.25">
      <c r="A458" s="5" t="s">
        <v>782</v>
      </c>
      <c r="B458" s="5">
        <v>65.776846148000004</v>
      </c>
      <c r="C458" s="5">
        <v>8387.08</v>
      </c>
      <c r="D458" s="6">
        <v>101.6</v>
      </c>
      <c r="E458" s="6">
        <v>177.79999999999998</v>
      </c>
      <c r="F458" s="5">
        <v>15.875</v>
      </c>
      <c r="G458" s="5">
        <f t="shared" si="43"/>
        <v>1</v>
      </c>
      <c r="H458" s="6" t="str">
        <f t="shared" si="44"/>
        <v>SLBB</v>
      </c>
      <c r="I458" s="5">
        <v>24.333199999999998</v>
      </c>
      <c r="J458" s="5">
        <f t="shared" si="45"/>
        <v>0</v>
      </c>
      <c r="K458" s="5">
        <v>0.46400000000000002</v>
      </c>
      <c r="L458" s="5">
        <v>6493210.2393599991</v>
      </c>
      <c r="M458" s="5">
        <v>9.3800000000000008</v>
      </c>
      <c r="N458" s="5">
        <v>5.12</v>
      </c>
      <c r="O458" s="5">
        <v>27.94</v>
      </c>
      <c r="P458" s="5">
        <v>59104862.435199991</v>
      </c>
      <c r="Q458" s="5">
        <v>521108.63519999996</v>
      </c>
      <c r="R458" s="5">
        <v>332657.39919999999</v>
      </c>
      <c r="S458" s="5">
        <v>84.073999999999998</v>
      </c>
      <c r="T458" s="5">
        <f t="shared" si="46"/>
        <v>1</v>
      </c>
      <c r="U458" s="5">
        <f t="shared" si="47"/>
        <v>1</v>
      </c>
      <c r="V458" s="5">
        <f t="shared" si="48"/>
        <v>1</v>
      </c>
      <c r="W458" s="5">
        <v>90.169999999999987</v>
      </c>
      <c r="X458" s="5">
        <v>0.96699999999999997</v>
      </c>
    </row>
    <row r="459" spans="1:24" x14ac:dyDescent="0.25">
      <c r="A459" s="5" t="s">
        <v>783</v>
      </c>
      <c r="B459" s="5">
        <v>65.776846148000004</v>
      </c>
      <c r="C459" s="5">
        <v>8387.08</v>
      </c>
      <c r="D459" s="6">
        <v>101.6</v>
      </c>
      <c r="E459" s="6">
        <v>177.79999999999998</v>
      </c>
      <c r="F459" s="5">
        <v>15.875</v>
      </c>
      <c r="G459" s="5">
        <f t="shared" si="43"/>
        <v>1</v>
      </c>
      <c r="H459" s="6" t="str">
        <f t="shared" si="44"/>
        <v>SLBB</v>
      </c>
      <c r="I459" s="5">
        <v>24.333199999999998</v>
      </c>
      <c r="J459" s="5">
        <f t="shared" si="45"/>
        <v>0</v>
      </c>
      <c r="K459" s="5">
        <v>0.46400000000000002</v>
      </c>
      <c r="L459" s="5">
        <v>6493210.2393599991</v>
      </c>
      <c r="M459" s="5">
        <v>9.3800000000000008</v>
      </c>
      <c r="N459" s="5">
        <v>5.12</v>
      </c>
      <c r="O459" s="5">
        <v>27.94</v>
      </c>
      <c r="P459" s="5">
        <v>64932102.393599994</v>
      </c>
      <c r="Q459" s="5">
        <v>562076.29519999993</v>
      </c>
      <c r="R459" s="5">
        <v>355599.28879999998</v>
      </c>
      <c r="S459" s="5">
        <v>87.884</v>
      </c>
      <c r="T459" s="5">
        <f t="shared" si="46"/>
        <v>1</v>
      </c>
      <c r="U459" s="5">
        <f t="shared" si="47"/>
        <v>1</v>
      </c>
      <c r="V459" s="5">
        <f t="shared" si="48"/>
        <v>1</v>
      </c>
      <c r="W459" s="5">
        <v>93.471999999999994</v>
      </c>
      <c r="X459" s="5">
        <v>0.96899999999999997</v>
      </c>
    </row>
    <row r="460" spans="1:24" x14ac:dyDescent="0.25">
      <c r="A460" s="5" t="s">
        <v>784</v>
      </c>
      <c r="B460" s="5">
        <v>65.776846148000004</v>
      </c>
      <c r="C460" s="5">
        <v>8387.08</v>
      </c>
      <c r="D460" s="6">
        <v>101.6</v>
      </c>
      <c r="E460" s="6">
        <v>177.79999999999998</v>
      </c>
      <c r="F460" s="5">
        <v>15.875</v>
      </c>
      <c r="G460" s="5">
        <f t="shared" si="43"/>
        <v>1</v>
      </c>
      <c r="H460" s="6" t="str">
        <f t="shared" si="44"/>
        <v>SLBB</v>
      </c>
      <c r="I460" s="5">
        <v>24.333199999999998</v>
      </c>
      <c r="J460" s="5">
        <f t="shared" si="45"/>
        <v>0</v>
      </c>
      <c r="K460" s="5">
        <v>0.46400000000000002</v>
      </c>
      <c r="L460" s="5">
        <v>6493210.2393599991</v>
      </c>
      <c r="M460" s="5">
        <v>9.3800000000000008</v>
      </c>
      <c r="N460" s="5">
        <v>5.12</v>
      </c>
      <c r="O460" s="5">
        <v>27.94</v>
      </c>
      <c r="P460" s="5">
        <v>69926879.500799999</v>
      </c>
      <c r="Q460" s="5">
        <v>601405.24879999994</v>
      </c>
      <c r="R460" s="5">
        <v>373625.05919999996</v>
      </c>
      <c r="S460" s="5">
        <v>91.44</v>
      </c>
      <c r="T460" s="5">
        <f t="shared" si="46"/>
        <v>1</v>
      </c>
      <c r="U460" s="5">
        <f t="shared" si="47"/>
        <v>1</v>
      </c>
      <c r="V460" s="5">
        <f t="shared" si="48"/>
        <v>1</v>
      </c>
      <c r="W460" s="5">
        <v>97.027999999999992</v>
      </c>
      <c r="X460" s="5">
        <v>0.97099999999999997</v>
      </c>
    </row>
    <row r="461" spans="1:24" x14ac:dyDescent="0.25">
      <c r="A461" s="5" t="s">
        <v>785</v>
      </c>
      <c r="B461" s="5">
        <v>53.276269051999996</v>
      </c>
      <c r="C461" s="5">
        <v>6774.1799999999994</v>
      </c>
      <c r="D461" s="6">
        <v>101.6</v>
      </c>
      <c r="E461" s="6">
        <v>177.79999999999998</v>
      </c>
      <c r="F461" s="5">
        <v>12.7</v>
      </c>
      <c r="G461" s="5">
        <f t="shared" si="43"/>
        <v>1</v>
      </c>
      <c r="H461" s="6" t="str">
        <f t="shared" si="44"/>
        <v>SLBB</v>
      </c>
      <c r="I461" s="5">
        <v>23.114000000000001</v>
      </c>
      <c r="J461" s="5">
        <f t="shared" si="45"/>
        <v>0</v>
      </c>
      <c r="K461" s="5">
        <v>0.376</v>
      </c>
      <c r="L461" s="5">
        <v>5411008.5327999992</v>
      </c>
      <c r="M461" s="5">
        <v>7.54</v>
      </c>
      <c r="N461" s="5">
        <v>4.2</v>
      </c>
      <c r="O461" s="5">
        <v>28.194000000000003</v>
      </c>
      <c r="P461" s="5">
        <v>47450382.518399999</v>
      </c>
      <c r="Q461" s="5">
        <v>412954.01279999997</v>
      </c>
      <c r="R461" s="5">
        <v>267109.14319999999</v>
      </c>
      <c r="S461" s="5">
        <v>83.566000000000003</v>
      </c>
      <c r="T461" s="5">
        <f t="shared" si="46"/>
        <v>1</v>
      </c>
      <c r="U461" s="5">
        <f t="shared" si="47"/>
        <v>1</v>
      </c>
      <c r="V461" s="5">
        <f t="shared" si="48"/>
        <v>1</v>
      </c>
      <c r="W461" s="5">
        <v>89.661999999999992</v>
      </c>
      <c r="X461" s="5">
        <v>0.96499999999999997</v>
      </c>
    </row>
    <row r="462" spans="1:24" x14ac:dyDescent="0.25">
      <c r="A462" s="5" t="s">
        <v>786</v>
      </c>
      <c r="B462" s="5">
        <v>53.276269051999996</v>
      </c>
      <c r="C462" s="5">
        <v>6774.1799999999994</v>
      </c>
      <c r="D462" s="6">
        <v>101.6</v>
      </c>
      <c r="E462" s="6">
        <v>177.79999999999998</v>
      </c>
      <c r="F462" s="5">
        <v>12.7</v>
      </c>
      <c r="G462" s="5">
        <f t="shared" si="43"/>
        <v>1</v>
      </c>
      <c r="H462" s="6" t="str">
        <f t="shared" si="44"/>
        <v>SLBB</v>
      </c>
      <c r="I462" s="5">
        <v>23.114000000000001</v>
      </c>
      <c r="J462" s="5">
        <f t="shared" si="45"/>
        <v>0</v>
      </c>
      <c r="K462" s="5">
        <v>0.376</v>
      </c>
      <c r="L462" s="5">
        <v>5411008.5327999992</v>
      </c>
      <c r="M462" s="5">
        <v>7.54</v>
      </c>
      <c r="N462" s="5">
        <v>4.2</v>
      </c>
      <c r="O462" s="5">
        <v>28.194000000000003</v>
      </c>
      <c r="P462" s="5">
        <v>51612696.774399996</v>
      </c>
      <c r="Q462" s="5">
        <v>445728.14079999994</v>
      </c>
      <c r="R462" s="5">
        <v>283496.2072</v>
      </c>
      <c r="S462" s="5">
        <v>87.122</v>
      </c>
      <c r="T462" s="5">
        <f t="shared" si="46"/>
        <v>1</v>
      </c>
      <c r="U462" s="5">
        <f t="shared" si="47"/>
        <v>1</v>
      </c>
      <c r="V462" s="5">
        <f t="shared" si="48"/>
        <v>1</v>
      </c>
      <c r="W462" s="5">
        <v>92.963999999999999</v>
      </c>
      <c r="X462" s="5">
        <v>0.96799999999999997</v>
      </c>
    </row>
    <row r="463" spans="1:24" x14ac:dyDescent="0.25">
      <c r="A463" s="5" t="s">
        <v>787</v>
      </c>
      <c r="B463" s="5">
        <v>53.276269051999996</v>
      </c>
      <c r="C463" s="5">
        <v>6774.1799999999994</v>
      </c>
      <c r="D463" s="6">
        <v>101.6</v>
      </c>
      <c r="E463" s="6">
        <v>177.79999999999998</v>
      </c>
      <c r="F463" s="5">
        <v>12.7</v>
      </c>
      <c r="G463" s="5">
        <f t="shared" si="43"/>
        <v>1</v>
      </c>
      <c r="H463" s="6" t="str">
        <f t="shared" si="44"/>
        <v>SLBB</v>
      </c>
      <c r="I463" s="5">
        <v>23.114000000000001</v>
      </c>
      <c r="J463" s="5">
        <f t="shared" si="45"/>
        <v>0</v>
      </c>
      <c r="K463" s="5">
        <v>0.376</v>
      </c>
      <c r="L463" s="5">
        <v>5411008.5327999992</v>
      </c>
      <c r="M463" s="5">
        <v>7.54</v>
      </c>
      <c r="N463" s="5">
        <v>4.2</v>
      </c>
      <c r="O463" s="5">
        <v>28.194000000000003</v>
      </c>
      <c r="P463" s="5">
        <v>55775011.030399993</v>
      </c>
      <c r="Q463" s="5">
        <v>478502.26879999996</v>
      </c>
      <c r="R463" s="5">
        <v>298244.56479999993</v>
      </c>
      <c r="S463" s="5">
        <v>90.677999999999997</v>
      </c>
      <c r="T463" s="5">
        <f t="shared" si="46"/>
        <v>1</v>
      </c>
      <c r="U463" s="5">
        <f t="shared" si="47"/>
        <v>1</v>
      </c>
      <c r="V463" s="5">
        <f t="shared" si="48"/>
        <v>1</v>
      </c>
      <c r="W463" s="5">
        <v>96.52</v>
      </c>
      <c r="X463" s="5">
        <v>0.97</v>
      </c>
    </row>
    <row r="464" spans="1:24" x14ac:dyDescent="0.25">
      <c r="A464" s="5" t="s">
        <v>788</v>
      </c>
      <c r="B464" s="5">
        <v>46.728347715999995</v>
      </c>
      <c r="C464" s="5">
        <v>5974.1815999999999</v>
      </c>
      <c r="D464" s="6">
        <v>101.6</v>
      </c>
      <c r="E464" s="6">
        <v>177.79999999999998</v>
      </c>
      <c r="F464" s="5">
        <v>11.1252</v>
      </c>
      <c r="G464" s="5">
        <f t="shared" si="43"/>
        <v>1</v>
      </c>
      <c r="H464" s="6" t="str">
        <f t="shared" si="44"/>
        <v>SLBB</v>
      </c>
      <c r="I464" s="5">
        <v>22.5044</v>
      </c>
      <c r="J464" s="5">
        <f t="shared" si="45"/>
        <v>0</v>
      </c>
      <c r="K464" s="5">
        <v>0.33100000000000002</v>
      </c>
      <c r="L464" s="5">
        <v>4828284.5369599992</v>
      </c>
      <c r="M464" s="5">
        <v>6.61</v>
      </c>
      <c r="N464" s="5">
        <v>3.72</v>
      </c>
      <c r="O464" s="5">
        <v>28.448</v>
      </c>
      <c r="P464" s="5">
        <v>41456649.989759997</v>
      </c>
      <c r="Q464" s="5">
        <v>360515.40799999994</v>
      </c>
      <c r="R464" s="5">
        <v>232696.30879999997</v>
      </c>
      <c r="S464" s="5">
        <v>83.311999999999983</v>
      </c>
      <c r="T464" s="5">
        <f t="shared" si="46"/>
        <v>1</v>
      </c>
      <c r="U464" s="5">
        <f t="shared" si="47"/>
        <v>1</v>
      </c>
      <c r="V464" s="5">
        <f t="shared" si="48"/>
        <v>1</v>
      </c>
      <c r="W464" s="5">
        <v>89.661999999999992</v>
      </c>
      <c r="X464" s="5">
        <v>0.96399999999999997</v>
      </c>
    </row>
    <row r="465" spans="1:24" x14ac:dyDescent="0.25">
      <c r="A465" s="5" t="s">
        <v>789</v>
      </c>
      <c r="B465" s="5">
        <v>46.728347715999995</v>
      </c>
      <c r="C465" s="5">
        <v>5974.1815999999999</v>
      </c>
      <c r="D465" s="6">
        <v>101.6</v>
      </c>
      <c r="E465" s="6">
        <v>177.79999999999998</v>
      </c>
      <c r="F465" s="5">
        <v>11.1252</v>
      </c>
      <c r="G465" s="5">
        <f t="shared" si="43"/>
        <v>1</v>
      </c>
      <c r="H465" s="6" t="str">
        <f t="shared" si="44"/>
        <v>SLBB</v>
      </c>
      <c r="I465" s="5">
        <v>22.5044</v>
      </c>
      <c r="J465" s="5">
        <f t="shared" si="45"/>
        <v>0</v>
      </c>
      <c r="K465" s="5">
        <v>0.33100000000000002</v>
      </c>
      <c r="L465" s="5">
        <v>4828284.5369599992</v>
      </c>
      <c r="M465" s="5">
        <v>6.61</v>
      </c>
      <c r="N465" s="5">
        <v>3.72</v>
      </c>
      <c r="O465" s="5">
        <v>28.448</v>
      </c>
      <c r="P465" s="5">
        <v>44952993.964799993</v>
      </c>
      <c r="Q465" s="5">
        <v>390012.12319999997</v>
      </c>
      <c r="R465" s="5">
        <v>245805.95999999996</v>
      </c>
      <c r="S465" s="5">
        <v>86.867999999999995</v>
      </c>
      <c r="T465" s="5">
        <f t="shared" si="46"/>
        <v>1</v>
      </c>
      <c r="U465" s="5">
        <f t="shared" si="47"/>
        <v>1</v>
      </c>
      <c r="V465" s="5">
        <f t="shared" si="48"/>
        <v>1</v>
      </c>
      <c r="W465" s="5">
        <v>92.963999999999999</v>
      </c>
      <c r="X465" s="5">
        <v>0.96699999999999997</v>
      </c>
    </row>
    <row r="466" spans="1:24" x14ac:dyDescent="0.25">
      <c r="A466" s="5" t="s">
        <v>790</v>
      </c>
      <c r="B466" s="5">
        <v>46.728347715999995</v>
      </c>
      <c r="C466" s="5">
        <v>5974.1815999999999</v>
      </c>
      <c r="D466" s="6">
        <v>101.6</v>
      </c>
      <c r="E466" s="6">
        <v>177.79999999999998</v>
      </c>
      <c r="F466" s="5">
        <v>11.1252</v>
      </c>
      <c r="G466" s="5">
        <f t="shared" si="43"/>
        <v>1</v>
      </c>
      <c r="H466" s="6" t="str">
        <f t="shared" si="44"/>
        <v>SLBB</v>
      </c>
      <c r="I466" s="5">
        <v>22.5044</v>
      </c>
      <c r="J466" s="5">
        <f t="shared" si="45"/>
        <v>0</v>
      </c>
      <c r="K466" s="5">
        <v>0.33100000000000002</v>
      </c>
      <c r="L466" s="5">
        <v>4828284.5369599992</v>
      </c>
      <c r="M466" s="5">
        <v>6.61</v>
      </c>
      <c r="N466" s="5">
        <v>3.72</v>
      </c>
      <c r="O466" s="5">
        <v>28.448</v>
      </c>
      <c r="P466" s="5">
        <v>48699076.795199998</v>
      </c>
      <c r="Q466" s="5">
        <v>417870.13199999998</v>
      </c>
      <c r="R466" s="5">
        <v>260554.31759999998</v>
      </c>
      <c r="S466" s="5">
        <v>90.423999999999992</v>
      </c>
      <c r="T466" s="5">
        <f t="shared" si="46"/>
        <v>1</v>
      </c>
      <c r="U466" s="5">
        <f t="shared" si="47"/>
        <v>1</v>
      </c>
      <c r="V466" s="5">
        <f t="shared" si="48"/>
        <v>1</v>
      </c>
      <c r="W466" s="5">
        <v>96.265999999999991</v>
      </c>
      <c r="X466" s="5">
        <v>0.96899999999999997</v>
      </c>
    </row>
    <row r="467" spans="1:24" x14ac:dyDescent="0.25">
      <c r="A467" s="5" t="s">
        <v>791</v>
      </c>
      <c r="B467" s="5">
        <v>40.478059168000001</v>
      </c>
      <c r="C467" s="5">
        <v>5161.28</v>
      </c>
      <c r="D467" s="6">
        <v>101.6</v>
      </c>
      <c r="E467" s="6">
        <v>177.79999999999998</v>
      </c>
      <c r="F467" s="5">
        <v>9.5249999999999986</v>
      </c>
      <c r="G467" s="5">
        <f t="shared" si="43"/>
        <v>1</v>
      </c>
      <c r="H467" s="6" t="str">
        <f t="shared" si="44"/>
        <v>SLBB</v>
      </c>
      <c r="I467" s="5">
        <v>21.869399999999999</v>
      </c>
      <c r="J467" s="5">
        <f t="shared" si="45"/>
        <v>0</v>
      </c>
      <c r="K467" s="5">
        <v>0.28599999999999998</v>
      </c>
      <c r="L467" s="5">
        <v>4203937.3985599997</v>
      </c>
      <c r="M467" s="5">
        <v>5.68</v>
      </c>
      <c r="N467" s="5">
        <v>3.22</v>
      </c>
      <c r="O467" s="5">
        <v>28.448</v>
      </c>
      <c r="P467" s="5">
        <v>35379671.175999999</v>
      </c>
      <c r="Q467" s="5">
        <v>308076.80319999997</v>
      </c>
      <c r="R467" s="5">
        <v>198283.47439999998</v>
      </c>
      <c r="S467" s="5">
        <v>82.803999999999988</v>
      </c>
      <c r="T467" s="5">
        <f t="shared" si="46"/>
        <v>1</v>
      </c>
      <c r="U467" s="5">
        <f t="shared" si="47"/>
        <v>1</v>
      </c>
      <c r="V467" s="5">
        <f t="shared" si="48"/>
        <v>1</v>
      </c>
      <c r="W467" s="5">
        <v>89.408000000000001</v>
      </c>
      <c r="X467" s="5">
        <v>0.96299999999999997</v>
      </c>
    </row>
    <row r="468" spans="1:24" x14ac:dyDescent="0.25">
      <c r="A468" s="5" t="s">
        <v>792</v>
      </c>
      <c r="B468" s="5">
        <v>40.478059168000001</v>
      </c>
      <c r="C468" s="5">
        <v>5161.28</v>
      </c>
      <c r="D468" s="6">
        <v>101.6</v>
      </c>
      <c r="E468" s="6">
        <v>177.79999999999998</v>
      </c>
      <c r="F468" s="5">
        <v>9.5249999999999986</v>
      </c>
      <c r="G468" s="5">
        <f t="shared" si="43"/>
        <v>1</v>
      </c>
      <c r="H468" s="6" t="str">
        <f t="shared" si="44"/>
        <v>SLBB</v>
      </c>
      <c r="I468" s="5">
        <v>21.869399999999999</v>
      </c>
      <c r="J468" s="5">
        <f t="shared" si="45"/>
        <v>0</v>
      </c>
      <c r="K468" s="5">
        <v>0.28599999999999998</v>
      </c>
      <c r="L468" s="5">
        <v>4203937.3985599997</v>
      </c>
      <c r="M468" s="5">
        <v>5.68</v>
      </c>
      <c r="N468" s="5">
        <v>3.22</v>
      </c>
      <c r="O468" s="5">
        <v>28.448</v>
      </c>
      <c r="P468" s="5">
        <v>38501406.867999993</v>
      </c>
      <c r="Q468" s="5">
        <v>332657.39919999999</v>
      </c>
      <c r="R468" s="5">
        <v>211393.1256</v>
      </c>
      <c r="S468" s="5">
        <v>86.36</v>
      </c>
      <c r="T468" s="5">
        <f t="shared" si="46"/>
        <v>1</v>
      </c>
      <c r="U468" s="5">
        <f t="shared" si="47"/>
        <v>1</v>
      </c>
      <c r="V468" s="5">
        <f t="shared" si="48"/>
        <v>1</v>
      </c>
      <c r="W468" s="5">
        <v>92.71</v>
      </c>
      <c r="X468" s="5">
        <v>0.96599999999999997</v>
      </c>
    </row>
    <row r="469" spans="1:24" x14ac:dyDescent="0.25">
      <c r="A469" s="5" t="s">
        <v>793</v>
      </c>
      <c r="B469" s="5">
        <v>40.478059168000001</v>
      </c>
      <c r="C469" s="5">
        <v>5161.28</v>
      </c>
      <c r="D469" s="6">
        <v>101.6</v>
      </c>
      <c r="E469" s="6">
        <v>177.79999999999998</v>
      </c>
      <c r="F469" s="5">
        <v>9.5249999999999986</v>
      </c>
      <c r="G469" s="5">
        <f t="shared" si="43"/>
        <v>1</v>
      </c>
      <c r="H469" s="6" t="str">
        <f t="shared" si="44"/>
        <v>SLBB</v>
      </c>
      <c r="I469" s="5">
        <v>21.869399999999999</v>
      </c>
      <c r="J469" s="5">
        <f t="shared" si="45"/>
        <v>0</v>
      </c>
      <c r="K469" s="5">
        <v>0.28599999999999998</v>
      </c>
      <c r="L469" s="5">
        <v>4203937.3985599997</v>
      </c>
      <c r="M469" s="5">
        <v>5.68</v>
      </c>
      <c r="N469" s="5">
        <v>3.22</v>
      </c>
      <c r="O469" s="5">
        <v>28.448</v>
      </c>
      <c r="P469" s="5">
        <v>41623142.559999995</v>
      </c>
      <c r="Q469" s="5">
        <v>357237.9952</v>
      </c>
      <c r="R469" s="5">
        <v>222864.07039999997</v>
      </c>
      <c r="S469" s="5">
        <v>89.915999999999997</v>
      </c>
      <c r="T469" s="5">
        <f t="shared" si="46"/>
        <v>1</v>
      </c>
      <c r="U469" s="5">
        <f t="shared" si="47"/>
        <v>1</v>
      </c>
      <c r="V469" s="5">
        <f t="shared" si="48"/>
        <v>1</v>
      </c>
      <c r="W469" s="5">
        <v>96.011999999999986</v>
      </c>
      <c r="X469" s="5">
        <v>0.96799999999999997</v>
      </c>
    </row>
    <row r="470" spans="1:24" x14ac:dyDescent="0.25">
      <c r="A470" s="5" t="s">
        <v>794</v>
      </c>
      <c r="B470" s="5">
        <v>80.956118336000003</v>
      </c>
      <c r="C470" s="5">
        <v>10322.56</v>
      </c>
      <c r="D470" s="6">
        <v>101.6</v>
      </c>
      <c r="E470" s="6">
        <v>152.39999999999998</v>
      </c>
      <c r="F470" s="5">
        <v>22.224999999999998</v>
      </c>
      <c r="G470" s="5">
        <f t="shared" si="43"/>
        <v>1</v>
      </c>
      <c r="H470" s="6" t="str">
        <f t="shared" si="44"/>
        <v>SLBB</v>
      </c>
      <c r="I470" s="5">
        <v>28.448</v>
      </c>
      <c r="J470" s="5">
        <f t="shared" si="45"/>
        <v>0</v>
      </c>
      <c r="K470" s="5">
        <v>0.66700000000000004</v>
      </c>
      <c r="L470" s="5">
        <v>8074889.6566399988</v>
      </c>
      <c r="M470" s="5">
        <v>12.5</v>
      </c>
      <c r="N470" s="5">
        <v>6.74</v>
      </c>
      <c r="O470" s="5">
        <v>27.94</v>
      </c>
      <c r="P470" s="5">
        <v>52861391.051199995</v>
      </c>
      <c r="Q470" s="5">
        <v>555521.46959999995</v>
      </c>
      <c r="R470" s="5">
        <v>347405.75679999997</v>
      </c>
      <c r="S470" s="5">
        <v>71.627999999999986</v>
      </c>
      <c r="T470" s="5">
        <f t="shared" si="46"/>
        <v>1</v>
      </c>
      <c r="U470" s="5">
        <f t="shared" si="47"/>
        <v>1</v>
      </c>
      <c r="V470" s="5">
        <f t="shared" si="48"/>
        <v>1</v>
      </c>
      <c r="W470" s="5">
        <v>78.739999999999995</v>
      </c>
      <c r="X470" s="5">
        <v>0.95199999999999996</v>
      </c>
    </row>
    <row r="471" spans="1:24" x14ac:dyDescent="0.25">
      <c r="A471" s="5" t="s">
        <v>795</v>
      </c>
      <c r="B471" s="5">
        <v>80.956118336000003</v>
      </c>
      <c r="C471" s="5">
        <v>10322.56</v>
      </c>
      <c r="D471" s="6">
        <v>101.6</v>
      </c>
      <c r="E471" s="6">
        <v>152.39999999999998</v>
      </c>
      <c r="F471" s="5">
        <v>22.224999999999998</v>
      </c>
      <c r="G471" s="5">
        <f t="shared" si="43"/>
        <v>1</v>
      </c>
      <c r="H471" s="6" t="str">
        <f t="shared" si="44"/>
        <v>SLBB</v>
      </c>
      <c r="I471" s="5">
        <v>28.448</v>
      </c>
      <c r="J471" s="5">
        <f t="shared" si="45"/>
        <v>0</v>
      </c>
      <c r="K471" s="5">
        <v>0.66700000000000004</v>
      </c>
      <c r="L471" s="5">
        <v>8074889.6566399988</v>
      </c>
      <c r="M471" s="5">
        <v>12.5</v>
      </c>
      <c r="N471" s="5">
        <v>6.74</v>
      </c>
      <c r="O471" s="5">
        <v>27.94</v>
      </c>
      <c r="P471" s="5">
        <v>58272399.583999991</v>
      </c>
      <c r="Q471" s="5">
        <v>604682.66159999988</v>
      </c>
      <c r="R471" s="5">
        <v>370347.64639999997</v>
      </c>
      <c r="S471" s="5">
        <v>75.183999999999997</v>
      </c>
      <c r="T471" s="5">
        <f t="shared" si="46"/>
        <v>1</v>
      </c>
      <c r="U471" s="5">
        <f t="shared" si="47"/>
        <v>1</v>
      </c>
      <c r="V471" s="5">
        <f t="shared" si="48"/>
        <v>1</v>
      </c>
      <c r="W471" s="5">
        <v>82.042000000000002</v>
      </c>
      <c r="X471" s="5">
        <v>0.95599999999999996</v>
      </c>
    </row>
    <row r="472" spans="1:24" x14ac:dyDescent="0.25">
      <c r="A472" s="5" t="s">
        <v>796</v>
      </c>
      <c r="B472" s="5">
        <v>80.956118336000003</v>
      </c>
      <c r="C472" s="5">
        <v>10322.56</v>
      </c>
      <c r="D472" s="6">
        <v>101.6</v>
      </c>
      <c r="E472" s="6">
        <v>152.39999999999998</v>
      </c>
      <c r="F472" s="5">
        <v>22.224999999999998</v>
      </c>
      <c r="G472" s="5">
        <f t="shared" si="43"/>
        <v>1</v>
      </c>
      <c r="H472" s="6" t="str">
        <f t="shared" si="44"/>
        <v>SLBB</v>
      </c>
      <c r="I472" s="5">
        <v>28.448</v>
      </c>
      <c r="J472" s="5">
        <f t="shared" si="45"/>
        <v>0</v>
      </c>
      <c r="K472" s="5">
        <v>0.66700000000000004</v>
      </c>
      <c r="L472" s="5">
        <v>8074889.6566399988</v>
      </c>
      <c r="M472" s="5">
        <v>12.5</v>
      </c>
      <c r="N472" s="5">
        <v>6.74</v>
      </c>
      <c r="O472" s="5">
        <v>27.94</v>
      </c>
      <c r="P472" s="5">
        <v>64515870.967999995</v>
      </c>
      <c r="Q472" s="5">
        <v>653843.85359999991</v>
      </c>
      <c r="R472" s="5">
        <v>398205.65519999998</v>
      </c>
      <c r="S472" s="5">
        <v>78.993999999999986</v>
      </c>
      <c r="T472" s="5">
        <f t="shared" si="46"/>
        <v>1</v>
      </c>
      <c r="U472" s="5">
        <f t="shared" si="47"/>
        <v>1</v>
      </c>
      <c r="V472" s="5">
        <f t="shared" si="48"/>
        <v>1</v>
      </c>
      <c r="W472" s="5">
        <v>85.597999999999999</v>
      </c>
      <c r="X472" s="5">
        <v>0.95899999999999996</v>
      </c>
    </row>
    <row r="473" spans="1:24" x14ac:dyDescent="0.25">
      <c r="A473" s="5" t="s">
        <v>797</v>
      </c>
      <c r="B473" s="5">
        <v>70.241337967999996</v>
      </c>
      <c r="C473" s="5">
        <v>8967.7240000000002</v>
      </c>
      <c r="D473" s="6">
        <v>101.6</v>
      </c>
      <c r="E473" s="6">
        <v>152.39999999999998</v>
      </c>
      <c r="F473" s="5">
        <v>19.049999999999997</v>
      </c>
      <c r="G473" s="5">
        <f t="shared" si="43"/>
        <v>1</v>
      </c>
      <c r="H473" s="6" t="str">
        <f t="shared" si="44"/>
        <v>SLBB</v>
      </c>
      <c r="I473" s="5">
        <v>27.178000000000001</v>
      </c>
      <c r="J473" s="5">
        <f t="shared" si="45"/>
        <v>0</v>
      </c>
      <c r="K473" s="5">
        <v>0.57799999999999996</v>
      </c>
      <c r="L473" s="5">
        <v>7200803.6628799997</v>
      </c>
      <c r="M473" s="5">
        <v>10.8</v>
      </c>
      <c r="N473" s="5">
        <v>5.9</v>
      </c>
      <c r="O473" s="5">
        <v>28.448</v>
      </c>
      <c r="P473" s="5">
        <v>45369225.390399992</v>
      </c>
      <c r="Q473" s="5">
        <v>470308.73679999996</v>
      </c>
      <c r="R473" s="5">
        <v>298244.56479999993</v>
      </c>
      <c r="S473" s="5">
        <v>71.11999999999999</v>
      </c>
      <c r="T473" s="5">
        <f t="shared" si="46"/>
        <v>1</v>
      </c>
      <c r="U473" s="5">
        <f t="shared" si="47"/>
        <v>1</v>
      </c>
      <c r="V473" s="5">
        <f t="shared" si="48"/>
        <v>1</v>
      </c>
      <c r="W473" s="5">
        <v>78.48599999999999</v>
      </c>
      <c r="X473" s="5">
        <v>0.94899999999999995</v>
      </c>
    </row>
    <row r="474" spans="1:24" x14ac:dyDescent="0.25">
      <c r="A474" s="5" t="s">
        <v>798</v>
      </c>
      <c r="B474" s="5">
        <v>70.241337967999996</v>
      </c>
      <c r="C474" s="5">
        <v>8967.7240000000002</v>
      </c>
      <c r="D474" s="6">
        <v>101.6</v>
      </c>
      <c r="E474" s="6">
        <v>152.39999999999998</v>
      </c>
      <c r="F474" s="5">
        <v>19.049999999999997</v>
      </c>
      <c r="G474" s="5">
        <f t="shared" si="43"/>
        <v>1</v>
      </c>
      <c r="H474" s="6" t="str">
        <f t="shared" si="44"/>
        <v>SLBB</v>
      </c>
      <c r="I474" s="5">
        <v>27.178000000000001</v>
      </c>
      <c r="J474" s="5">
        <f t="shared" si="45"/>
        <v>0</v>
      </c>
      <c r="K474" s="5">
        <v>0.57799999999999996</v>
      </c>
      <c r="L474" s="5">
        <v>7200803.6628799997</v>
      </c>
      <c r="M474" s="5">
        <v>10.8</v>
      </c>
      <c r="N474" s="5">
        <v>5.9</v>
      </c>
      <c r="O474" s="5">
        <v>28.448</v>
      </c>
      <c r="P474" s="5">
        <v>49947771.071999997</v>
      </c>
      <c r="Q474" s="5">
        <v>512915.10319999995</v>
      </c>
      <c r="R474" s="5">
        <v>317909.04159999994</v>
      </c>
      <c r="S474" s="5">
        <v>74.675999999999988</v>
      </c>
      <c r="T474" s="5">
        <f t="shared" si="46"/>
        <v>1</v>
      </c>
      <c r="U474" s="5">
        <f t="shared" si="47"/>
        <v>1</v>
      </c>
      <c r="V474" s="5">
        <f t="shared" si="48"/>
        <v>1</v>
      </c>
      <c r="W474" s="5">
        <v>81.787999999999997</v>
      </c>
      <c r="X474" s="5">
        <v>0.95299999999999996</v>
      </c>
    </row>
    <row r="475" spans="1:24" x14ac:dyDescent="0.25">
      <c r="A475" s="5" t="s">
        <v>799</v>
      </c>
      <c r="B475" s="5">
        <v>70.241337967999996</v>
      </c>
      <c r="C475" s="5">
        <v>8967.7240000000002</v>
      </c>
      <c r="D475" s="6">
        <v>101.6</v>
      </c>
      <c r="E475" s="6">
        <v>152.39999999999998</v>
      </c>
      <c r="F475" s="5">
        <v>19.049999999999997</v>
      </c>
      <c r="G475" s="5">
        <f t="shared" si="43"/>
        <v>1</v>
      </c>
      <c r="H475" s="6" t="str">
        <f t="shared" si="44"/>
        <v>SLBB</v>
      </c>
      <c r="I475" s="5">
        <v>27.178000000000001</v>
      </c>
      <c r="J475" s="5">
        <f t="shared" si="45"/>
        <v>0</v>
      </c>
      <c r="K475" s="5">
        <v>0.57799999999999996</v>
      </c>
      <c r="L475" s="5">
        <v>7200803.6628799997</v>
      </c>
      <c r="M475" s="5">
        <v>10.8</v>
      </c>
      <c r="N475" s="5">
        <v>5.9</v>
      </c>
      <c r="O475" s="5">
        <v>28.448</v>
      </c>
      <c r="P475" s="5">
        <v>54942548.179199994</v>
      </c>
      <c r="Q475" s="5">
        <v>555521.46959999995</v>
      </c>
      <c r="R475" s="5">
        <v>339212.22479999997</v>
      </c>
      <c r="S475" s="5">
        <v>78.231999999999999</v>
      </c>
      <c r="T475" s="5">
        <f t="shared" si="46"/>
        <v>1</v>
      </c>
      <c r="U475" s="5">
        <f t="shared" si="47"/>
        <v>1</v>
      </c>
      <c r="V475" s="5">
        <f t="shared" si="48"/>
        <v>1</v>
      </c>
      <c r="W475" s="5">
        <v>85.09</v>
      </c>
      <c r="X475" s="5">
        <v>0.95699999999999996</v>
      </c>
    </row>
    <row r="476" spans="1:24" x14ac:dyDescent="0.25">
      <c r="A476" s="5" t="s">
        <v>800</v>
      </c>
      <c r="B476" s="5">
        <v>59.526557599999997</v>
      </c>
      <c r="C476" s="5">
        <v>7548.3719999999994</v>
      </c>
      <c r="D476" s="6">
        <v>101.6</v>
      </c>
      <c r="E476" s="6">
        <v>152.39999999999998</v>
      </c>
      <c r="F476" s="5">
        <v>15.875</v>
      </c>
      <c r="G476" s="5">
        <f t="shared" si="43"/>
        <v>1</v>
      </c>
      <c r="H476" s="6" t="str">
        <f t="shared" si="44"/>
        <v>SLBB</v>
      </c>
      <c r="I476" s="5">
        <v>26.161999999999999</v>
      </c>
      <c r="J476" s="5">
        <f t="shared" si="45"/>
        <v>0</v>
      </c>
      <c r="K476" s="5">
        <v>0.48799999999999999</v>
      </c>
      <c r="L476" s="5">
        <v>6243471.3839999996</v>
      </c>
      <c r="M476" s="5">
        <v>9.1300000000000008</v>
      </c>
      <c r="N476" s="5">
        <v>5.03</v>
      </c>
      <c r="O476" s="5">
        <v>28.701999999999995</v>
      </c>
      <c r="P476" s="5">
        <v>37377582.018879995</v>
      </c>
      <c r="Q476" s="5">
        <v>390012.12319999997</v>
      </c>
      <c r="R476" s="5">
        <v>245805.95999999996</v>
      </c>
      <c r="S476" s="5">
        <v>70.35799999999999</v>
      </c>
      <c r="T476" s="5">
        <f t="shared" si="46"/>
        <v>1</v>
      </c>
      <c r="U476" s="5">
        <f t="shared" si="47"/>
        <v>1</v>
      </c>
      <c r="V476" s="5">
        <f t="shared" si="48"/>
        <v>1</v>
      </c>
      <c r="W476" s="5">
        <v>78.231999999999999</v>
      </c>
      <c r="X476" s="5">
        <v>0.94599999999999995</v>
      </c>
    </row>
    <row r="477" spans="1:24" x14ac:dyDescent="0.25">
      <c r="A477" s="5" t="s">
        <v>801</v>
      </c>
      <c r="B477" s="5">
        <v>59.526557599999997</v>
      </c>
      <c r="C477" s="5">
        <v>7548.3719999999994</v>
      </c>
      <c r="D477" s="6">
        <v>101.6</v>
      </c>
      <c r="E477" s="6">
        <v>152.39999999999998</v>
      </c>
      <c r="F477" s="5">
        <v>15.875</v>
      </c>
      <c r="G477" s="5">
        <f t="shared" si="43"/>
        <v>1</v>
      </c>
      <c r="H477" s="6" t="str">
        <f t="shared" si="44"/>
        <v>SLBB</v>
      </c>
      <c r="I477" s="5">
        <v>26.161999999999999</v>
      </c>
      <c r="J477" s="5">
        <f t="shared" si="45"/>
        <v>0</v>
      </c>
      <c r="K477" s="5">
        <v>0.48799999999999999</v>
      </c>
      <c r="L477" s="5">
        <v>6243471.3839999996</v>
      </c>
      <c r="M477" s="5">
        <v>9.1300000000000008</v>
      </c>
      <c r="N477" s="5">
        <v>5.03</v>
      </c>
      <c r="O477" s="5">
        <v>28.701999999999995</v>
      </c>
      <c r="P477" s="5">
        <v>41248534.276959993</v>
      </c>
      <c r="Q477" s="5">
        <v>426063.66399999999</v>
      </c>
      <c r="R477" s="5">
        <v>262193.02399999998</v>
      </c>
      <c r="S477" s="5">
        <v>73.914000000000001</v>
      </c>
      <c r="T477" s="5">
        <f t="shared" si="46"/>
        <v>1</v>
      </c>
      <c r="U477" s="5">
        <f t="shared" si="47"/>
        <v>1</v>
      </c>
      <c r="V477" s="5">
        <f t="shared" si="48"/>
        <v>1</v>
      </c>
      <c r="W477" s="5">
        <v>81.533999999999992</v>
      </c>
      <c r="X477" s="5">
        <v>0.95</v>
      </c>
    </row>
    <row r="478" spans="1:24" x14ac:dyDescent="0.25">
      <c r="A478" s="5" t="s">
        <v>802</v>
      </c>
      <c r="B478" s="5">
        <v>59.526557599999997</v>
      </c>
      <c r="C478" s="5">
        <v>7548.3719999999994</v>
      </c>
      <c r="D478" s="6">
        <v>101.6</v>
      </c>
      <c r="E478" s="6">
        <v>152.39999999999998</v>
      </c>
      <c r="F478" s="5">
        <v>15.875</v>
      </c>
      <c r="G478" s="5">
        <f t="shared" si="43"/>
        <v>1</v>
      </c>
      <c r="H478" s="6" t="str">
        <f t="shared" si="44"/>
        <v>SLBB</v>
      </c>
      <c r="I478" s="5">
        <v>26.161999999999999</v>
      </c>
      <c r="J478" s="5">
        <f t="shared" si="45"/>
        <v>0</v>
      </c>
      <c r="K478" s="5">
        <v>0.48799999999999999</v>
      </c>
      <c r="L478" s="5">
        <v>6243471.3839999996</v>
      </c>
      <c r="M478" s="5">
        <v>9.1300000000000008</v>
      </c>
      <c r="N478" s="5">
        <v>5.03</v>
      </c>
      <c r="O478" s="5">
        <v>28.701999999999995</v>
      </c>
      <c r="P478" s="5">
        <v>45785456.815999992</v>
      </c>
      <c r="Q478" s="5">
        <v>462115.20479999995</v>
      </c>
      <c r="R478" s="5">
        <v>283496.2072</v>
      </c>
      <c r="S478" s="5">
        <v>77.724000000000004</v>
      </c>
      <c r="T478" s="5">
        <f t="shared" si="46"/>
        <v>1</v>
      </c>
      <c r="U478" s="5">
        <f t="shared" si="47"/>
        <v>1</v>
      </c>
      <c r="V478" s="5">
        <f t="shared" si="48"/>
        <v>1</v>
      </c>
      <c r="W478" s="5">
        <v>84.835999999999999</v>
      </c>
      <c r="X478" s="5">
        <v>0.95399999999999996</v>
      </c>
    </row>
    <row r="479" spans="1:24" x14ac:dyDescent="0.25">
      <c r="A479" s="5" t="s">
        <v>803</v>
      </c>
      <c r="B479" s="5">
        <v>53.871534628000006</v>
      </c>
      <c r="C479" s="5">
        <v>6838.695999999999</v>
      </c>
      <c r="D479" s="6">
        <v>101.6</v>
      </c>
      <c r="E479" s="6">
        <v>152.39999999999998</v>
      </c>
      <c r="F479" s="5">
        <v>14.300199999999998</v>
      </c>
      <c r="G479" s="5">
        <f t="shared" si="43"/>
        <v>1</v>
      </c>
      <c r="H479" s="6" t="str">
        <f t="shared" si="44"/>
        <v>SLBB</v>
      </c>
      <c r="I479" s="5">
        <v>25.4</v>
      </c>
      <c r="J479" s="5">
        <f t="shared" si="45"/>
        <v>0</v>
      </c>
      <c r="K479" s="5">
        <v>0.443</v>
      </c>
      <c r="L479" s="5">
        <v>5702370.5307199992</v>
      </c>
      <c r="M479" s="5">
        <v>8.26</v>
      </c>
      <c r="N479" s="5">
        <v>4.58</v>
      </c>
      <c r="O479" s="5">
        <v>28.955999999999996</v>
      </c>
      <c r="P479" s="5">
        <v>33589876.045919999</v>
      </c>
      <c r="Q479" s="5">
        <v>347405.75679999997</v>
      </c>
      <c r="R479" s="5">
        <v>219586.65759999998</v>
      </c>
      <c r="S479" s="5">
        <v>70.103999999999985</v>
      </c>
      <c r="T479" s="5">
        <f t="shared" si="46"/>
        <v>1</v>
      </c>
      <c r="U479" s="5">
        <f t="shared" si="47"/>
        <v>1</v>
      </c>
      <c r="V479" s="5">
        <f t="shared" si="48"/>
        <v>1</v>
      </c>
      <c r="W479" s="5">
        <v>77.977999999999994</v>
      </c>
      <c r="X479" s="5">
        <v>0.94499999999999995</v>
      </c>
    </row>
    <row r="480" spans="1:24" x14ac:dyDescent="0.25">
      <c r="A480" s="5" t="s">
        <v>804</v>
      </c>
      <c r="B480" s="5">
        <v>53.871534628000006</v>
      </c>
      <c r="C480" s="5">
        <v>6838.695999999999</v>
      </c>
      <c r="D480" s="6">
        <v>101.6</v>
      </c>
      <c r="E480" s="6">
        <v>152.39999999999998</v>
      </c>
      <c r="F480" s="5">
        <v>14.300199999999998</v>
      </c>
      <c r="G480" s="5">
        <f t="shared" si="43"/>
        <v>1</v>
      </c>
      <c r="H480" s="6" t="str">
        <f t="shared" si="44"/>
        <v>SLBB</v>
      </c>
      <c r="I480" s="5">
        <v>25.4</v>
      </c>
      <c r="J480" s="5">
        <f t="shared" si="45"/>
        <v>0</v>
      </c>
      <c r="K480" s="5">
        <v>0.443</v>
      </c>
      <c r="L480" s="5">
        <v>5702370.5307199992</v>
      </c>
      <c r="M480" s="5">
        <v>8.26</v>
      </c>
      <c r="N480" s="5">
        <v>4.58</v>
      </c>
      <c r="O480" s="5">
        <v>28.955999999999996</v>
      </c>
      <c r="P480" s="5">
        <v>37086220.020959996</v>
      </c>
      <c r="Q480" s="5">
        <v>380179.88479999994</v>
      </c>
      <c r="R480" s="5">
        <v>235973.72159999999</v>
      </c>
      <c r="S480" s="5">
        <v>73.66</v>
      </c>
      <c r="T480" s="5">
        <f t="shared" si="46"/>
        <v>1</v>
      </c>
      <c r="U480" s="5">
        <f t="shared" si="47"/>
        <v>1</v>
      </c>
      <c r="V480" s="5">
        <f t="shared" si="48"/>
        <v>1</v>
      </c>
      <c r="W480" s="5">
        <v>81.28</v>
      </c>
      <c r="X480" s="5">
        <v>0.94899999999999995</v>
      </c>
    </row>
    <row r="481" spans="1:24" x14ac:dyDescent="0.25">
      <c r="A481" s="5" t="s">
        <v>805</v>
      </c>
      <c r="B481" s="5">
        <v>53.871534628000006</v>
      </c>
      <c r="C481" s="5">
        <v>6838.695999999999</v>
      </c>
      <c r="D481" s="6">
        <v>101.6</v>
      </c>
      <c r="E481" s="6">
        <v>152.39999999999998</v>
      </c>
      <c r="F481" s="5">
        <v>14.300199999999998</v>
      </c>
      <c r="G481" s="5">
        <f t="shared" si="43"/>
        <v>1</v>
      </c>
      <c r="H481" s="6" t="str">
        <f t="shared" si="44"/>
        <v>SLBB</v>
      </c>
      <c r="I481" s="5">
        <v>25.4</v>
      </c>
      <c r="J481" s="5">
        <f t="shared" si="45"/>
        <v>0</v>
      </c>
      <c r="K481" s="5">
        <v>0.443</v>
      </c>
      <c r="L481" s="5">
        <v>5702370.5307199992</v>
      </c>
      <c r="M481" s="5">
        <v>8.26</v>
      </c>
      <c r="N481" s="5">
        <v>4.58</v>
      </c>
      <c r="O481" s="5">
        <v>28.955999999999996</v>
      </c>
      <c r="P481" s="5">
        <v>40790679.708799995</v>
      </c>
      <c r="Q481" s="5">
        <v>412954.01279999997</v>
      </c>
      <c r="R481" s="5">
        <v>252360.78559999997</v>
      </c>
      <c r="S481" s="5">
        <v>77.215999999999994</v>
      </c>
      <c r="T481" s="5">
        <f t="shared" si="46"/>
        <v>1</v>
      </c>
      <c r="U481" s="5">
        <f t="shared" si="47"/>
        <v>1</v>
      </c>
      <c r="V481" s="5">
        <f t="shared" si="48"/>
        <v>1</v>
      </c>
      <c r="W481" s="5">
        <v>84.581999999999994</v>
      </c>
      <c r="X481" s="5">
        <v>0.95299999999999996</v>
      </c>
    </row>
    <row r="482" spans="1:24" x14ac:dyDescent="0.25">
      <c r="A482" s="5" t="s">
        <v>806</v>
      </c>
      <c r="B482" s="5">
        <v>48.216511655999994</v>
      </c>
      <c r="C482" s="5">
        <v>6129.0199999999995</v>
      </c>
      <c r="D482" s="6">
        <v>101.6</v>
      </c>
      <c r="E482" s="6">
        <v>152.39999999999998</v>
      </c>
      <c r="F482" s="5">
        <v>12.7</v>
      </c>
      <c r="G482" s="5">
        <f t="shared" si="43"/>
        <v>1</v>
      </c>
      <c r="H482" s="6" t="str">
        <f t="shared" si="44"/>
        <v>SLBB</v>
      </c>
      <c r="I482" s="5">
        <v>24.917399999999997</v>
      </c>
      <c r="J482" s="5">
        <f t="shared" si="45"/>
        <v>0</v>
      </c>
      <c r="K482" s="5">
        <v>0.39600000000000002</v>
      </c>
      <c r="L482" s="5">
        <v>5161269.6774399998</v>
      </c>
      <c r="M482" s="5">
        <v>7.38</v>
      </c>
      <c r="N482" s="5">
        <v>4.12</v>
      </c>
      <c r="O482" s="5">
        <v>28.955999999999996</v>
      </c>
      <c r="P482" s="5">
        <v>29885416.358079996</v>
      </c>
      <c r="Q482" s="5">
        <v>308076.80319999997</v>
      </c>
      <c r="R482" s="5">
        <v>196644.76799999998</v>
      </c>
      <c r="S482" s="5">
        <v>69.849999999999994</v>
      </c>
      <c r="T482" s="5">
        <f t="shared" si="46"/>
        <v>1</v>
      </c>
      <c r="U482" s="5">
        <f t="shared" si="47"/>
        <v>1</v>
      </c>
      <c r="V482" s="5">
        <f t="shared" si="48"/>
        <v>1</v>
      </c>
      <c r="W482" s="5">
        <v>77.977999999999994</v>
      </c>
      <c r="X482" s="5">
        <v>0.94299999999999995</v>
      </c>
    </row>
    <row r="483" spans="1:24" x14ac:dyDescent="0.25">
      <c r="A483" s="5" t="s">
        <v>807</v>
      </c>
      <c r="B483" s="5">
        <v>48.216511655999994</v>
      </c>
      <c r="C483" s="5">
        <v>6129.0199999999995</v>
      </c>
      <c r="D483" s="6">
        <v>101.6</v>
      </c>
      <c r="E483" s="6">
        <v>152.39999999999998</v>
      </c>
      <c r="F483" s="5">
        <v>12.7</v>
      </c>
      <c r="G483" s="5">
        <f t="shared" si="43"/>
        <v>1</v>
      </c>
      <c r="H483" s="6" t="str">
        <f t="shared" si="44"/>
        <v>SLBB</v>
      </c>
      <c r="I483" s="5">
        <v>24.917399999999997</v>
      </c>
      <c r="J483" s="5">
        <f t="shared" si="45"/>
        <v>0</v>
      </c>
      <c r="K483" s="5">
        <v>0.39600000000000002</v>
      </c>
      <c r="L483" s="5">
        <v>5161269.6774399998</v>
      </c>
      <c r="M483" s="5">
        <v>7.38</v>
      </c>
      <c r="N483" s="5">
        <v>4.12</v>
      </c>
      <c r="O483" s="5">
        <v>28.955999999999996</v>
      </c>
      <c r="P483" s="5">
        <v>33007152.050079994</v>
      </c>
      <c r="Q483" s="5">
        <v>337573.5184</v>
      </c>
      <c r="R483" s="5">
        <v>209754.4192</v>
      </c>
      <c r="S483" s="5">
        <v>73.406000000000006</v>
      </c>
      <c r="T483" s="5">
        <f t="shared" si="46"/>
        <v>1</v>
      </c>
      <c r="U483" s="5">
        <f t="shared" si="47"/>
        <v>1</v>
      </c>
      <c r="V483" s="5">
        <f t="shared" si="48"/>
        <v>1</v>
      </c>
      <c r="W483" s="5">
        <v>81.025999999999996</v>
      </c>
      <c r="X483" s="5">
        <v>0.94799999999999995</v>
      </c>
    </row>
    <row r="484" spans="1:24" x14ac:dyDescent="0.25">
      <c r="A484" s="5" t="s">
        <v>808</v>
      </c>
      <c r="B484" s="5">
        <v>48.216511655999994</v>
      </c>
      <c r="C484" s="5">
        <v>6129.0199999999995</v>
      </c>
      <c r="D484" s="6">
        <v>101.6</v>
      </c>
      <c r="E484" s="6">
        <v>152.39999999999998</v>
      </c>
      <c r="F484" s="5">
        <v>12.7</v>
      </c>
      <c r="G484" s="5">
        <f t="shared" si="43"/>
        <v>1</v>
      </c>
      <c r="H484" s="6" t="str">
        <f t="shared" si="44"/>
        <v>SLBB</v>
      </c>
      <c r="I484" s="5">
        <v>24.917399999999997</v>
      </c>
      <c r="J484" s="5">
        <f t="shared" si="45"/>
        <v>0</v>
      </c>
      <c r="K484" s="5">
        <v>0.39600000000000002</v>
      </c>
      <c r="L484" s="5">
        <v>5161269.6774399998</v>
      </c>
      <c r="M484" s="5">
        <v>7.38</v>
      </c>
      <c r="N484" s="5">
        <v>4.12</v>
      </c>
      <c r="O484" s="5">
        <v>28.955999999999996</v>
      </c>
      <c r="P484" s="5">
        <v>36295380.312319994</v>
      </c>
      <c r="Q484" s="5">
        <v>367070.23359999992</v>
      </c>
      <c r="R484" s="5">
        <v>224502.77679999996</v>
      </c>
      <c r="S484" s="5">
        <v>76.961999999999989</v>
      </c>
      <c r="T484" s="5">
        <f t="shared" si="46"/>
        <v>1</v>
      </c>
      <c r="U484" s="5">
        <f t="shared" si="47"/>
        <v>1</v>
      </c>
      <c r="V484" s="5">
        <f t="shared" si="48"/>
        <v>1</v>
      </c>
      <c r="W484" s="5">
        <v>84.327999999999989</v>
      </c>
      <c r="X484" s="5">
        <v>0.95199999999999996</v>
      </c>
    </row>
    <row r="485" spans="1:24" x14ac:dyDescent="0.25">
      <c r="A485" s="5" t="s">
        <v>809</v>
      </c>
      <c r="B485" s="5">
        <v>42.561488684000004</v>
      </c>
      <c r="C485" s="5">
        <v>5393.5375999999997</v>
      </c>
      <c r="D485" s="6">
        <v>101.6</v>
      </c>
      <c r="E485" s="6">
        <v>152.39999999999998</v>
      </c>
      <c r="F485" s="5">
        <v>11.1252</v>
      </c>
      <c r="G485" s="5">
        <f t="shared" si="43"/>
        <v>1</v>
      </c>
      <c r="H485" s="6" t="str">
        <f t="shared" si="44"/>
        <v>SLBB</v>
      </c>
      <c r="I485" s="5">
        <v>24.307799999999997</v>
      </c>
      <c r="J485" s="5">
        <f t="shared" si="45"/>
        <v>0</v>
      </c>
      <c r="K485" s="5">
        <v>0.34799999999999998</v>
      </c>
      <c r="L485" s="5">
        <v>4620168.8241599994</v>
      </c>
      <c r="M485" s="5">
        <v>6.49</v>
      </c>
      <c r="N485" s="5">
        <v>3.65</v>
      </c>
      <c r="O485" s="5">
        <v>29.209999999999997</v>
      </c>
      <c r="P485" s="5">
        <v>26139333.527679995</v>
      </c>
      <c r="Q485" s="5">
        <v>267109.14319999999</v>
      </c>
      <c r="R485" s="5">
        <v>172064.17199999999</v>
      </c>
      <c r="S485" s="5">
        <v>69.596000000000004</v>
      </c>
      <c r="T485" s="5">
        <f t="shared" si="46"/>
        <v>1</v>
      </c>
      <c r="U485" s="5">
        <f t="shared" si="47"/>
        <v>1</v>
      </c>
      <c r="V485" s="5">
        <f t="shared" si="48"/>
        <v>1</v>
      </c>
      <c r="W485" s="5">
        <v>77.724000000000004</v>
      </c>
      <c r="X485" s="5">
        <v>0.94199999999999995</v>
      </c>
    </row>
    <row r="486" spans="1:24" x14ac:dyDescent="0.25">
      <c r="A486" s="5" t="s">
        <v>810</v>
      </c>
      <c r="B486" s="5">
        <v>42.561488684000004</v>
      </c>
      <c r="C486" s="5">
        <v>5393.5375999999997</v>
      </c>
      <c r="D486" s="6">
        <v>101.6</v>
      </c>
      <c r="E486" s="6">
        <v>152.39999999999998</v>
      </c>
      <c r="F486" s="5">
        <v>11.1252</v>
      </c>
      <c r="G486" s="5">
        <f t="shared" si="43"/>
        <v>1</v>
      </c>
      <c r="H486" s="6" t="str">
        <f t="shared" si="44"/>
        <v>SLBB</v>
      </c>
      <c r="I486" s="5">
        <v>24.307799999999997</v>
      </c>
      <c r="J486" s="5">
        <f t="shared" si="45"/>
        <v>0</v>
      </c>
      <c r="K486" s="5">
        <v>0.34799999999999998</v>
      </c>
      <c r="L486" s="5">
        <v>4620168.8241599994</v>
      </c>
      <c r="M486" s="5">
        <v>6.49</v>
      </c>
      <c r="N486" s="5">
        <v>3.65</v>
      </c>
      <c r="O486" s="5">
        <v>29.209999999999997</v>
      </c>
      <c r="P486" s="5">
        <v>28844837.794079997</v>
      </c>
      <c r="Q486" s="5">
        <v>293328.44559999998</v>
      </c>
      <c r="R486" s="5">
        <v>183535.11679999996</v>
      </c>
      <c r="S486" s="5">
        <v>73.151999999999987</v>
      </c>
      <c r="T486" s="5">
        <f t="shared" si="46"/>
        <v>1</v>
      </c>
      <c r="U486" s="5">
        <f t="shared" si="47"/>
        <v>1</v>
      </c>
      <c r="V486" s="5">
        <f t="shared" si="48"/>
        <v>1</v>
      </c>
      <c r="W486" s="5">
        <v>81.025999999999996</v>
      </c>
      <c r="X486" s="5">
        <v>0.94599999999999995</v>
      </c>
    </row>
    <row r="487" spans="1:24" x14ac:dyDescent="0.25">
      <c r="A487" s="5" t="s">
        <v>811</v>
      </c>
      <c r="B487" s="5">
        <v>42.561488684000004</v>
      </c>
      <c r="C487" s="5">
        <v>5393.5375999999997</v>
      </c>
      <c r="D487" s="6">
        <v>101.6</v>
      </c>
      <c r="E487" s="6">
        <v>152.39999999999998</v>
      </c>
      <c r="F487" s="5">
        <v>11.1252</v>
      </c>
      <c r="G487" s="5">
        <f t="shared" si="43"/>
        <v>1</v>
      </c>
      <c r="H487" s="6" t="str">
        <f t="shared" si="44"/>
        <v>SLBB</v>
      </c>
      <c r="I487" s="5">
        <v>24.307799999999997</v>
      </c>
      <c r="J487" s="5">
        <f t="shared" si="45"/>
        <v>0</v>
      </c>
      <c r="K487" s="5">
        <v>0.34799999999999998</v>
      </c>
      <c r="L487" s="5">
        <v>4620168.8241599994</v>
      </c>
      <c r="M487" s="5">
        <v>6.49</v>
      </c>
      <c r="N487" s="5">
        <v>3.65</v>
      </c>
      <c r="O487" s="5">
        <v>29.209999999999997</v>
      </c>
      <c r="P487" s="5">
        <v>31716834.630719997</v>
      </c>
      <c r="Q487" s="5">
        <v>317909.04159999994</v>
      </c>
      <c r="R487" s="5">
        <v>196644.76799999998</v>
      </c>
      <c r="S487" s="5">
        <v>76.707999999999998</v>
      </c>
      <c r="T487" s="5">
        <f t="shared" si="46"/>
        <v>1</v>
      </c>
      <c r="U487" s="5">
        <f t="shared" si="47"/>
        <v>1</v>
      </c>
      <c r="V487" s="5">
        <f t="shared" si="48"/>
        <v>1</v>
      </c>
      <c r="W487" s="5">
        <v>84.073999999999998</v>
      </c>
      <c r="X487" s="5">
        <v>0.95</v>
      </c>
    </row>
    <row r="488" spans="1:24" x14ac:dyDescent="0.25">
      <c r="A488" s="5" t="s">
        <v>812</v>
      </c>
      <c r="B488" s="5">
        <v>36.608832923999998</v>
      </c>
      <c r="C488" s="5">
        <v>4658.0551999999998</v>
      </c>
      <c r="D488" s="6">
        <v>101.6</v>
      </c>
      <c r="E488" s="6">
        <v>152.39999999999998</v>
      </c>
      <c r="F488" s="5">
        <v>9.5249999999999986</v>
      </c>
      <c r="G488" s="5">
        <f t="shared" si="43"/>
        <v>1</v>
      </c>
      <c r="H488" s="6" t="str">
        <f t="shared" si="44"/>
        <v>SLBB</v>
      </c>
      <c r="I488" s="5">
        <v>23.6982</v>
      </c>
      <c r="J488" s="5">
        <f t="shared" si="45"/>
        <v>0</v>
      </c>
      <c r="K488" s="5">
        <v>0.30099999999999999</v>
      </c>
      <c r="L488" s="5">
        <v>4045769.4568320001</v>
      </c>
      <c r="M488" s="5">
        <v>5.58</v>
      </c>
      <c r="N488" s="5">
        <v>3.17</v>
      </c>
      <c r="O488" s="5">
        <v>29.463999999999995</v>
      </c>
      <c r="P488" s="5">
        <v>22393250.697279997</v>
      </c>
      <c r="Q488" s="5">
        <v>227780.18959999998</v>
      </c>
      <c r="R488" s="5">
        <v>146991.96408000001</v>
      </c>
      <c r="S488" s="5">
        <v>69.341999999999999</v>
      </c>
      <c r="T488" s="5">
        <f t="shared" si="46"/>
        <v>1</v>
      </c>
      <c r="U488" s="5">
        <f t="shared" si="47"/>
        <v>1</v>
      </c>
      <c r="V488" s="5">
        <f t="shared" si="48"/>
        <v>1</v>
      </c>
      <c r="W488" s="5">
        <v>77.724000000000004</v>
      </c>
      <c r="X488" s="5">
        <v>0.94</v>
      </c>
    </row>
    <row r="489" spans="1:24" x14ac:dyDescent="0.25">
      <c r="A489" s="5" t="s">
        <v>813</v>
      </c>
      <c r="B489" s="5">
        <v>36.608832923999998</v>
      </c>
      <c r="C489" s="5">
        <v>4658.0551999999998</v>
      </c>
      <c r="D489" s="6">
        <v>101.6</v>
      </c>
      <c r="E489" s="6">
        <v>152.39999999999998</v>
      </c>
      <c r="F489" s="5">
        <v>9.5249999999999986</v>
      </c>
      <c r="G489" s="5">
        <f t="shared" si="43"/>
        <v>1</v>
      </c>
      <c r="H489" s="6" t="str">
        <f t="shared" si="44"/>
        <v>SLBB</v>
      </c>
      <c r="I489" s="5">
        <v>23.6982</v>
      </c>
      <c r="J489" s="5">
        <f t="shared" si="45"/>
        <v>0</v>
      </c>
      <c r="K489" s="5">
        <v>0.30099999999999999</v>
      </c>
      <c r="L489" s="5">
        <v>4045769.4568320001</v>
      </c>
      <c r="M489" s="5">
        <v>5.58</v>
      </c>
      <c r="N489" s="5">
        <v>3.17</v>
      </c>
      <c r="O489" s="5">
        <v>29.463999999999995</v>
      </c>
      <c r="P489" s="5">
        <v>24599277.252959996</v>
      </c>
      <c r="Q489" s="5">
        <v>250722.07919999998</v>
      </c>
      <c r="R489" s="5">
        <v>156496.46119999999</v>
      </c>
      <c r="S489" s="5">
        <v>72.643999999999991</v>
      </c>
      <c r="T489" s="5">
        <f t="shared" si="46"/>
        <v>1</v>
      </c>
      <c r="U489" s="5">
        <f t="shared" si="47"/>
        <v>1</v>
      </c>
      <c r="V489" s="5">
        <f t="shared" si="48"/>
        <v>1</v>
      </c>
      <c r="W489" s="5">
        <v>80.772000000000006</v>
      </c>
      <c r="X489" s="5">
        <v>0.94499999999999995</v>
      </c>
    </row>
    <row r="490" spans="1:24" x14ac:dyDescent="0.25">
      <c r="A490" s="5" t="s">
        <v>814</v>
      </c>
      <c r="B490" s="5">
        <v>36.608832923999998</v>
      </c>
      <c r="C490" s="5">
        <v>4658.0551999999998</v>
      </c>
      <c r="D490" s="6">
        <v>101.6</v>
      </c>
      <c r="E490" s="6">
        <v>152.39999999999998</v>
      </c>
      <c r="F490" s="5">
        <v>9.5249999999999986</v>
      </c>
      <c r="G490" s="5">
        <f t="shared" si="43"/>
        <v>1</v>
      </c>
      <c r="H490" s="6" t="str">
        <f t="shared" si="44"/>
        <v>SLBB</v>
      </c>
      <c r="I490" s="5">
        <v>23.6982</v>
      </c>
      <c r="J490" s="5">
        <f t="shared" si="45"/>
        <v>0</v>
      </c>
      <c r="K490" s="5">
        <v>0.30099999999999999</v>
      </c>
      <c r="L490" s="5">
        <v>4045769.4568320001</v>
      </c>
      <c r="M490" s="5">
        <v>5.58</v>
      </c>
      <c r="N490" s="5">
        <v>3.17</v>
      </c>
      <c r="O490" s="5">
        <v>29.463999999999995</v>
      </c>
      <c r="P490" s="5">
        <v>27055042.663999997</v>
      </c>
      <c r="Q490" s="5">
        <v>272025.26240000001</v>
      </c>
      <c r="R490" s="5">
        <v>167148.05279999998</v>
      </c>
      <c r="S490" s="5">
        <v>76.199999999999989</v>
      </c>
      <c r="T490" s="5">
        <f t="shared" si="46"/>
        <v>1</v>
      </c>
      <c r="U490" s="5">
        <f t="shared" si="47"/>
        <v>1</v>
      </c>
      <c r="V490" s="5">
        <f t="shared" si="48"/>
        <v>1</v>
      </c>
      <c r="W490" s="5">
        <v>84.073999999999998</v>
      </c>
      <c r="X490" s="5">
        <v>0.94899999999999995</v>
      </c>
    </row>
    <row r="491" spans="1:24" x14ac:dyDescent="0.25">
      <c r="A491" s="5" t="s">
        <v>815</v>
      </c>
      <c r="B491" s="5">
        <v>30.656177164000002</v>
      </c>
      <c r="C491" s="5">
        <v>3909.6695999999997</v>
      </c>
      <c r="D491" s="6">
        <v>101.6</v>
      </c>
      <c r="E491" s="6">
        <v>152.39999999999998</v>
      </c>
      <c r="F491" s="5">
        <v>7.9501999999999997</v>
      </c>
      <c r="G491" s="5">
        <f t="shared" si="43"/>
        <v>1</v>
      </c>
      <c r="H491" s="6" t="str">
        <f t="shared" si="44"/>
        <v>SLBB</v>
      </c>
      <c r="I491" s="5">
        <v>23.063199999999998</v>
      </c>
      <c r="J491" s="5">
        <f t="shared" si="45"/>
        <v>0</v>
      </c>
      <c r="K491" s="5">
        <v>0.253</v>
      </c>
      <c r="L491" s="5">
        <v>3438071.5754559995</v>
      </c>
      <c r="M491" s="5">
        <v>4.67</v>
      </c>
      <c r="N491" s="5">
        <v>2.67</v>
      </c>
      <c r="O491" s="5">
        <v>29.717999999999996</v>
      </c>
      <c r="P491" s="5">
        <v>18647167.866879996</v>
      </c>
      <c r="Q491" s="5">
        <v>188451.23599999998</v>
      </c>
      <c r="R491" s="5">
        <v>122411.36807999999</v>
      </c>
      <c r="S491" s="5">
        <v>69.088000000000008</v>
      </c>
      <c r="T491" s="5">
        <f t="shared" si="46"/>
        <v>1</v>
      </c>
      <c r="U491" s="5">
        <f t="shared" si="47"/>
        <v>1</v>
      </c>
      <c r="V491" s="5">
        <f t="shared" si="48"/>
        <v>1</v>
      </c>
      <c r="W491" s="5">
        <v>77.469999999999985</v>
      </c>
      <c r="X491" s="5">
        <v>0.93899999999999995</v>
      </c>
    </row>
    <row r="492" spans="1:24" x14ac:dyDescent="0.25">
      <c r="A492" s="5" t="s">
        <v>816</v>
      </c>
      <c r="B492" s="5">
        <v>30.656177164000002</v>
      </c>
      <c r="C492" s="5">
        <v>3909.6695999999997</v>
      </c>
      <c r="D492" s="6">
        <v>101.6</v>
      </c>
      <c r="E492" s="6">
        <v>152.39999999999998</v>
      </c>
      <c r="F492" s="5">
        <v>7.9501999999999997</v>
      </c>
      <c r="G492" s="5">
        <f t="shared" si="43"/>
        <v>1</v>
      </c>
      <c r="H492" s="6" t="str">
        <f t="shared" si="44"/>
        <v>SLBB</v>
      </c>
      <c r="I492" s="5">
        <v>23.063199999999998</v>
      </c>
      <c r="J492" s="5">
        <f t="shared" si="45"/>
        <v>0</v>
      </c>
      <c r="K492" s="5">
        <v>0.253</v>
      </c>
      <c r="L492" s="5">
        <v>3438071.5754559995</v>
      </c>
      <c r="M492" s="5">
        <v>4.67</v>
      </c>
      <c r="N492" s="5">
        <v>2.67</v>
      </c>
      <c r="O492" s="5">
        <v>29.717999999999996</v>
      </c>
      <c r="P492" s="5">
        <v>20478586.139520001</v>
      </c>
      <c r="Q492" s="5">
        <v>208115.71279999998</v>
      </c>
      <c r="R492" s="5">
        <v>130277.15879999999</v>
      </c>
      <c r="S492" s="5">
        <v>72.39</v>
      </c>
      <c r="T492" s="5">
        <f t="shared" si="46"/>
        <v>1</v>
      </c>
      <c r="U492" s="5">
        <f t="shared" si="47"/>
        <v>1</v>
      </c>
      <c r="V492" s="5">
        <f t="shared" si="48"/>
        <v>1</v>
      </c>
      <c r="W492" s="5">
        <v>80.518000000000001</v>
      </c>
      <c r="X492" s="5">
        <v>0.94399999999999995</v>
      </c>
    </row>
    <row r="493" spans="1:24" x14ac:dyDescent="0.25">
      <c r="A493" s="5" t="s">
        <v>817</v>
      </c>
      <c r="B493" s="5">
        <v>30.656177164000002</v>
      </c>
      <c r="C493" s="5">
        <v>3909.6695999999997</v>
      </c>
      <c r="D493" s="6">
        <v>101.6</v>
      </c>
      <c r="E493" s="6">
        <v>152.39999999999998</v>
      </c>
      <c r="F493" s="5">
        <v>7.9501999999999997</v>
      </c>
      <c r="G493" s="5">
        <f t="shared" si="43"/>
        <v>1</v>
      </c>
      <c r="H493" s="6" t="str">
        <f t="shared" si="44"/>
        <v>SLBB</v>
      </c>
      <c r="I493" s="5">
        <v>23.063199999999998</v>
      </c>
      <c r="J493" s="5">
        <f t="shared" si="45"/>
        <v>0</v>
      </c>
      <c r="K493" s="5">
        <v>0.253</v>
      </c>
      <c r="L493" s="5">
        <v>3438071.5754559995</v>
      </c>
      <c r="M493" s="5">
        <v>4.67</v>
      </c>
      <c r="N493" s="5">
        <v>2.67</v>
      </c>
      <c r="O493" s="5">
        <v>29.717999999999996</v>
      </c>
      <c r="P493" s="5">
        <v>22559743.267519999</v>
      </c>
      <c r="Q493" s="5">
        <v>226141.48319999999</v>
      </c>
      <c r="R493" s="5">
        <v>139290.04399999999</v>
      </c>
      <c r="S493" s="5">
        <v>75.945999999999998</v>
      </c>
      <c r="T493" s="5">
        <f t="shared" si="46"/>
        <v>1</v>
      </c>
      <c r="U493" s="5">
        <f t="shared" si="47"/>
        <v>1</v>
      </c>
      <c r="V493" s="5">
        <f t="shared" si="48"/>
        <v>1</v>
      </c>
      <c r="W493" s="5">
        <v>83.82</v>
      </c>
      <c r="X493" s="5">
        <v>0.94799999999999995</v>
      </c>
    </row>
    <row r="494" spans="1:24" x14ac:dyDescent="0.25">
      <c r="A494" s="5" t="s">
        <v>818</v>
      </c>
      <c r="B494" s="5">
        <v>45.537816564000003</v>
      </c>
      <c r="C494" s="5">
        <v>5806.44</v>
      </c>
      <c r="D494" s="6">
        <v>88.899999999999991</v>
      </c>
      <c r="E494" s="6">
        <v>152.39999999999998</v>
      </c>
      <c r="F494" s="5">
        <v>12.7</v>
      </c>
      <c r="G494" s="5">
        <f t="shared" si="43"/>
        <v>1</v>
      </c>
      <c r="H494" s="6" t="str">
        <f t="shared" si="44"/>
        <v>SLBB</v>
      </c>
      <c r="I494" s="5">
        <v>21.0566</v>
      </c>
      <c r="J494" s="5">
        <f t="shared" si="45"/>
        <v>0</v>
      </c>
      <c r="K494" s="5">
        <v>0.375</v>
      </c>
      <c r="L494" s="5">
        <v>3525480.1748319999</v>
      </c>
      <c r="M494" s="5">
        <v>5.77</v>
      </c>
      <c r="N494" s="5">
        <v>3.17</v>
      </c>
      <c r="O494" s="5">
        <v>24.587199999999999</v>
      </c>
      <c r="P494" s="5">
        <v>29802170.072959993</v>
      </c>
      <c r="Q494" s="5">
        <v>304799.39039999997</v>
      </c>
      <c r="R494" s="5">
        <v>195006.06159999999</v>
      </c>
      <c r="S494" s="5">
        <v>71.627999999999986</v>
      </c>
      <c r="T494" s="5">
        <f t="shared" si="46"/>
        <v>1</v>
      </c>
      <c r="U494" s="5">
        <f t="shared" si="47"/>
        <v>1</v>
      </c>
      <c r="V494" s="5">
        <f t="shared" si="48"/>
        <v>1</v>
      </c>
      <c r="W494" s="5">
        <v>77.215999999999994</v>
      </c>
      <c r="X494" s="5">
        <v>0.96399999999999997</v>
      </c>
    </row>
    <row r="495" spans="1:24" x14ac:dyDescent="0.25">
      <c r="A495" s="5" t="s">
        <v>819</v>
      </c>
      <c r="B495" s="5">
        <v>45.537816564000003</v>
      </c>
      <c r="C495" s="5">
        <v>5806.44</v>
      </c>
      <c r="D495" s="6">
        <v>88.899999999999991</v>
      </c>
      <c r="E495" s="6">
        <v>152.39999999999998</v>
      </c>
      <c r="F495" s="5">
        <v>12.7</v>
      </c>
      <c r="G495" s="5">
        <f t="shared" si="43"/>
        <v>1</v>
      </c>
      <c r="H495" s="6" t="str">
        <f t="shared" si="44"/>
        <v>SLBB</v>
      </c>
      <c r="I495" s="5">
        <v>21.0566</v>
      </c>
      <c r="J495" s="5">
        <f t="shared" si="45"/>
        <v>0</v>
      </c>
      <c r="K495" s="5">
        <v>0.375</v>
      </c>
      <c r="L495" s="5">
        <v>3525480.1748319999</v>
      </c>
      <c r="M495" s="5">
        <v>5.77</v>
      </c>
      <c r="N495" s="5">
        <v>3.17</v>
      </c>
      <c r="O495" s="5">
        <v>24.587199999999999</v>
      </c>
      <c r="P495" s="5">
        <v>32840659.479839999</v>
      </c>
      <c r="Q495" s="5">
        <v>332657.39919999999</v>
      </c>
      <c r="R495" s="5">
        <v>209754.4192</v>
      </c>
      <c r="S495" s="5">
        <v>75.183999999999997</v>
      </c>
      <c r="T495" s="5">
        <f t="shared" si="46"/>
        <v>1</v>
      </c>
      <c r="U495" s="5">
        <f t="shared" si="47"/>
        <v>1</v>
      </c>
      <c r="V495" s="5">
        <f t="shared" si="48"/>
        <v>1</v>
      </c>
      <c r="W495" s="5">
        <v>80.518000000000001</v>
      </c>
      <c r="X495" s="5">
        <v>0.96699999999999997</v>
      </c>
    </row>
    <row r="496" spans="1:24" x14ac:dyDescent="0.25">
      <c r="A496" s="5" t="s">
        <v>820</v>
      </c>
      <c r="B496" s="5">
        <v>45.537816564000003</v>
      </c>
      <c r="C496" s="5">
        <v>5806.44</v>
      </c>
      <c r="D496" s="6">
        <v>88.899999999999991</v>
      </c>
      <c r="E496" s="6">
        <v>152.39999999999998</v>
      </c>
      <c r="F496" s="5">
        <v>12.7</v>
      </c>
      <c r="G496" s="5">
        <f t="shared" si="43"/>
        <v>1</v>
      </c>
      <c r="H496" s="6" t="str">
        <f t="shared" si="44"/>
        <v>SLBB</v>
      </c>
      <c r="I496" s="5">
        <v>21.0566</v>
      </c>
      <c r="J496" s="5">
        <f t="shared" si="45"/>
        <v>0</v>
      </c>
      <c r="K496" s="5">
        <v>0.375</v>
      </c>
      <c r="L496" s="5">
        <v>3525480.1748319999</v>
      </c>
      <c r="M496" s="5">
        <v>5.77</v>
      </c>
      <c r="N496" s="5">
        <v>3.17</v>
      </c>
      <c r="O496" s="5">
        <v>24.587199999999999</v>
      </c>
      <c r="P496" s="5">
        <v>36212134.027199998</v>
      </c>
      <c r="Q496" s="5">
        <v>360515.40799999994</v>
      </c>
      <c r="R496" s="5">
        <v>222864.07039999997</v>
      </c>
      <c r="S496" s="5">
        <v>78.993999999999986</v>
      </c>
      <c r="T496" s="5">
        <f t="shared" si="46"/>
        <v>1</v>
      </c>
      <c r="U496" s="5">
        <f t="shared" si="47"/>
        <v>1</v>
      </c>
      <c r="V496" s="5">
        <f t="shared" si="48"/>
        <v>1</v>
      </c>
      <c r="W496" s="5">
        <v>84.073999999999998</v>
      </c>
      <c r="X496" s="5">
        <v>0.96899999999999997</v>
      </c>
    </row>
    <row r="497" spans="1:24" x14ac:dyDescent="0.25">
      <c r="A497" s="5" t="s">
        <v>821</v>
      </c>
      <c r="B497" s="5">
        <v>34.823036195999997</v>
      </c>
      <c r="C497" s="5">
        <v>4438.7007999999996</v>
      </c>
      <c r="D497" s="6">
        <v>88.899999999999991</v>
      </c>
      <c r="E497" s="6">
        <v>152.39999999999998</v>
      </c>
      <c r="F497" s="5">
        <v>9.5249999999999986</v>
      </c>
      <c r="G497" s="5">
        <f t="shared" si="43"/>
        <v>1</v>
      </c>
      <c r="H497" s="6" t="str">
        <f t="shared" si="44"/>
        <v>SLBB</v>
      </c>
      <c r="I497" s="5">
        <v>19.837399999999999</v>
      </c>
      <c r="J497" s="5">
        <f t="shared" si="45"/>
        <v>0</v>
      </c>
      <c r="K497" s="5">
        <v>0.28699999999999998</v>
      </c>
      <c r="L497" s="5">
        <v>2767938.9802399999</v>
      </c>
      <c r="M497" s="5">
        <v>4.3600000000000003</v>
      </c>
      <c r="N497" s="5">
        <v>2.4500000000000002</v>
      </c>
      <c r="O497" s="5">
        <v>24.993599999999997</v>
      </c>
      <c r="P497" s="5">
        <v>22434873.839839999</v>
      </c>
      <c r="Q497" s="5">
        <v>227780.18959999998</v>
      </c>
      <c r="R497" s="5">
        <v>147155.83471999998</v>
      </c>
      <c r="S497" s="5">
        <v>71.11999999999999</v>
      </c>
      <c r="T497" s="5">
        <f t="shared" si="46"/>
        <v>1</v>
      </c>
      <c r="U497" s="5">
        <f t="shared" si="47"/>
        <v>1</v>
      </c>
      <c r="V497" s="5">
        <f t="shared" si="48"/>
        <v>1</v>
      </c>
      <c r="W497" s="5">
        <v>76.707999999999998</v>
      </c>
      <c r="X497" s="5">
        <v>0.96199999999999997</v>
      </c>
    </row>
    <row r="498" spans="1:24" x14ac:dyDescent="0.25">
      <c r="A498" s="5" t="s">
        <v>822</v>
      </c>
      <c r="B498" s="5">
        <v>34.823036195999997</v>
      </c>
      <c r="C498" s="5">
        <v>4438.7007999999996</v>
      </c>
      <c r="D498" s="6">
        <v>88.899999999999991</v>
      </c>
      <c r="E498" s="6">
        <v>152.39999999999998</v>
      </c>
      <c r="F498" s="5">
        <v>9.5249999999999986</v>
      </c>
      <c r="G498" s="5">
        <f t="shared" si="43"/>
        <v>1</v>
      </c>
      <c r="H498" s="6" t="str">
        <f t="shared" si="44"/>
        <v>SLBB</v>
      </c>
      <c r="I498" s="5">
        <v>19.837399999999999</v>
      </c>
      <c r="J498" s="5">
        <f t="shared" si="45"/>
        <v>0</v>
      </c>
      <c r="K498" s="5">
        <v>0.28699999999999998</v>
      </c>
      <c r="L498" s="5">
        <v>2767938.9802399999</v>
      </c>
      <c r="M498" s="5">
        <v>4.3600000000000003</v>
      </c>
      <c r="N498" s="5">
        <v>2.4500000000000002</v>
      </c>
      <c r="O498" s="5">
        <v>24.993599999999997</v>
      </c>
      <c r="P498" s="5">
        <v>24765769.823199999</v>
      </c>
      <c r="Q498" s="5">
        <v>249083.37279999995</v>
      </c>
      <c r="R498" s="5">
        <v>157643.55567999996</v>
      </c>
      <c r="S498" s="5">
        <v>74.675999999999988</v>
      </c>
      <c r="T498" s="5">
        <f t="shared" si="46"/>
        <v>1</v>
      </c>
      <c r="U498" s="5">
        <f t="shared" si="47"/>
        <v>1</v>
      </c>
      <c r="V498" s="5">
        <f t="shared" si="48"/>
        <v>1</v>
      </c>
      <c r="W498" s="5">
        <v>80.009999999999991</v>
      </c>
      <c r="X498" s="5">
        <v>0.96499999999999997</v>
      </c>
    </row>
    <row r="499" spans="1:24" x14ac:dyDescent="0.25">
      <c r="A499" s="5" t="s">
        <v>823</v>
      </c>
      <c r="B499" s="5">
        <v>34.823036195999997</v>
      </c>
      <c r="C499" s="5">
        <v>4438.7007999999996</v>
      </c>
      <c r="D499" s="6">
        <v>88.899999999999991</v>
      </c>
      <c r="E499" s="6">
        <v>152.39999999999998</v>
      </c>
      <c r="F499" s="5">
        <v>9.5249999999999986</v>
      </c>
      <c r="G499" s="5">
        <f t="shared" si="43"/>
        <v>1</v>
      </c>
      <c r="H499" s="6" t="str">
        <f t="shared" si="44"/>
        <v>SLBB</v>
      </c>
      <c r="I499" s="5">
        <v>19.837399999999999</v>
      </c>
      <c r="J499" s="5">
        <f t="shared" si="45"/>
        <v>0</v>
      </c>
      <c r="K499" s="5">
        <v>0.28699999999999998</v>
      </c>
      <c r="L499" s="5">
        <v>2767938.9802399999</v>
      </c>
      <c r="M499" s="5">
        <v>4.3600000000000003</v>
      </c>
      <c r="N499" s="5">
        <v>2.4500000000000002</v>
      </c>
      <c r="O499" s="5">
        <v>24.993599999999997</v>
      </c>
      <c r="P499" s="5">
        <v>27179912.091679998</v>
      </c>
      <c r="Q499" s="5">
        <v>270386.55599999998</v>
      </c>
      <c r="R499" s="5">
        <v>167148.05279999998</v>
      </c>
      <c r="S499" s="5">
        <v>78.231999999999999</v>
      </c>
      <c r="T499" s="5">
        <f t="shared" si="46"/>
        <v>1</v>
      </c>
      <c r="U499" s="5">
        <f t="shared" si="47"/>
        <v>1</v>
      </c>
      <c r="V499" s="5">
        <f t="shared" si="48"/>
        <v>1</v>
      </c>
      <c r="W499" s="5">
        <v>83.566000000000003</v>
      </c>
      <c r="X499" s="5">
        <v>0.96699999999999997</v>
      </c>
    </row>
    <row r="500" spans="1:24" x14ac:dyDescent="0.25">
      <c r="A500" s="5" t="s">
        <v>824</v>
      </c>
      <c r="B500" s="5">
        <v>29.168013224000003</v>
      </c>
      <c r="C500" s="5">
        <v>3729.0248000000001</v>
      </c>
      <c r="D500" s="6">
        <v>88.899999999999991</v>
      </c>
      <c r="E500" s="6">
        <v>152.39999999999998</v>
      </c>
      <c r="F500" s="5">
        <v>7.9501999999999997</v>
      </c>
      <c r="G500" s="5">
        <f t="shared" si="43"/>
        <v>1</v>
      </c>
      <c r="H500" s="6" t="str">
        <f t="shared" si="44"/>
        <v>SLBB</v>
      </c>
      <c r="I500" s="5">
        <v>19.202400000000001</v>
      </c>
      <c r="J500" s="5">
        <f t="shared" si="45"/>
        <v>0</v>
      </c>
      <c r="K500" s="5">
        <v>0.24099999999999999</v>
      </c>
      <c r="L500" s="5">
        <v>2364194.4974079998</v>
      </c>
      <c r="M500" s="5">
        <v>3.65</v>
      </c>
      <c r="N500" s="5">
        <v>2.0699999999999998</v>
      </c>
      <c r="O500" s="5">
        <v>25.171399999999998</v>
      </c>
      <c r="P500" s="5">
        <v>18605544.724319998</v>
      </c>
      <c r="Q500" s="5">
        <v>190089.94239999997</v>
      </c>
      <c r="R500" s="5">
        <v>122083.6268</v>
      </c>
      <c r="S500" s="5">
        <v>70.611999999999995</v>
      </c>
      <c r="T500" s="5">
        <f t="shared" si="46"/>
        <v>1</v>
      </c>
      <c r="U500" s="5">
        <f t="shared" si="47"/>
        <v>1</v>
      </c>
      <c r="V500" s="5">
        <f t="shared" si="48"/>
        <v>1</v>
      </c>
      <c r="W500" s="5">
        <v>76.707999999999998</v>
      </c>
      <c r="X500" s="5">
        <v>0.96</v>
      </c>
    </row>
    <row r="501" spans="1:24" x14ac:dyDescent="0.25">
      <c r="A501" s="5" t="s">
        <v>825</v>
      </c>
      <c r="B501" s="5">
        <v>29.168013224000003</v>
      </c>
      <c r="C501" s="5">
        <v>3729.0248000000001</v>
      </c>
      <c r="D501" s="6">
        <v>88.899999999999991</v>
      </c>
      <c r="E501" s="6">
        <v>152.39999999999998</v>
      </c>
      <c r="F501" s="5">
        <v>7.9501999999999997</v>
      </c>
      <c r="G501" s="5">
        <f t="shared" si="43"/>
        <v>1</v>
      </c>
      <c r="H501" s="6" t="str">
        <f t="shared" si="44"/>
        <v>SLBB</v>
      </c>
      <c r="I501" s="5">
        <v>19.202400000000001</v>
      </c>
      <c r="J501" s="5">
        <f t="shared" si="45"/>
        <v>0</v>
      </c>
      <c r="K501" s="5">
        <v>0.24099999999999999</v>
      </c>
      <c r="L501" s="5">
        <v>2364194.4974079998</v>
      </c>
      <c r="M501" s="5">
        <v>3.65</v>
      </c>
      <c r="N501" s="5">
        <v>2.0699999999999998</v>
      </c>
      <c r="O501" s="5">
        <v>25.171399999999998</v>
      </c>
      <c r="P501" s="5">
        <v>20520209.282079998</v>
      </c>
      <c r="Q501" s="5">
        <v>206477.00639999998</v>
      </c>
      <c r="R501" s="5">
        <v>130604.90007999998</v>
      </c>
      <c r="S501" s="5">
        <v>74.167999999999992</v>
      </c>
      <c r="T501" s="5">
        <f t="shared" si="46"/>
        <v>1</v>
      </c>
      <c r="U501" s="5">
        <f t="shared" si="47"/>
        <v>1</v>
      </c>
      <c r="V501" s="5">
        <f t="shared" si="48"/>
        <v>1</v>
      </c>
      <c r="W501" s="5">
        <v>79.756</v>
      </c>
      <c r="X501" s="5">
        <v>0.96399999999999997</v>
      </c>
    </row>
    <row r="502" spans="1:24" x14ac:dyDescent="0.25">
      <c r="A502" s="5" t="s">
        <v>826</v>
      </c>
      <c r="B502" s="5">
        <v>29.168013224000003</v>
      </c>
      <c r="C502" s="5">
        <v>3729.0248000000001</v>
      </c>
      <c r="D502" s="6">
        <v>88.899999999999991</v>
      </c>
      <c r="E502" s="6">
        <v>152.39999999999998</v>
      </c>
      <c r="F502" s="5">
        <v>7.9501999999999997</v>
      </c>
      <c r="G502" s="5">
        <f t="shared" si="43"/>
        <v>1</v>
      </c>
      <c r="H502" s="6" t="str">
        <f t="shared" si="44"/>
        <v>SLBB</v>
      </c>
      <c r="I502" s="5">
        <v>19.202400000000001</v>
      </c>
      <c r="J502" s="5">
        <f t="shared" si="45"/>
        <v>0</v>
      </c>
      <c r="K502" s="5">
        <v>0.24099999999999999</v>
      </c>
      <c r="L502" s="5">
        <v>2364194.4974079998</v>
      </c>
      <c r="M502" s="5">
        <v>3.65</v>
      </c>
      <c r="N502" s="5">
        <v>2.0699999999999998</v>
      </c>
      <c r="O502" s="5">
        <v>25.171399999999998</v>
      </c>
      <c r="P502" s="5">
        <v>22518120.124959998</v>
      </c>
      <c r="Q502" s="5">
        <v>224502.77679999996</v>
      </c>
      <c r="R502" s="5">
        <v>139126.17335999999</v>
      </c>
      <c r="S502" s="5">
        <v>77.724000000000004</v>
      </c>
      <c r="T502" s="5">
        <f t="shared" si="46"/>
        <v>1</v>
      </c>
      <c r="U502" s="5">
        <f t="shared" si="47"/>
        <v>1</v>
      </c>
      <c r="V502" s="5">
        <f t="shared" si="48"/>
        <v>1</v>
      </c>
      <c r="W502" s="5">
        <v>83.311999999999983</v>
      </c>
      <c r="X502" s="5">
        <v>0.96599999999999997</v>
      </c>
    </row>
    <row r="503" spans="1:24" x14ac:dyDescent="0.25">
      <c r="A503" s="5" t="s">
        <v>827</v>
      </c>
      <c r="B503" s="5">
        <v>58.931292024000001</v>
      </c>
      <c r="C503" s="5">
        <v>7548.3719999999994</v>
      </c>
      <c r="D503" s="6">
        <v>88.899999999999991</v>
      </c>
      <c r="E503" s="6">
        <v>127</v>
      </c>
      <c r="F503" s="5">
        <v>19.049999999999997</v>
      </c>
      <c r="G503" s="5">
        <f t="shared" si="43"/>
        <v>1</v>
      </c>
      <c r="H503" s="6" t="str">
        <f t="shared" si="44"/>
        <v>SLBB</v>
      </c>
      <c r="I503" s="5">
        <v>25.222199999999997</v>
      </c>
      <c r="J503" s="5">
        <f t="shared" si="45"/>
        <v>0</v>
      </c>
      <c r="K503" s="5">
        <v>0.58499999999999996</v>
      </c>
      <c r="L503" s="5">
        <v>4578545.6815999998</v>
      </c>
      <c r="M503" s="5">
        <v>8.1300000000000008</v>
      </c>
      <c r="N503" s="5">
        <v>4.4000000000000004</v>
      </c>
      <c r="O503" s="5">
        <v>24.739599999999999</v>
      </c>
      <c r="P503" s="5">
        <v>26430695.525599997</v>
      </c>
      <c r="Q503" s="5">
        <v>334296.10559999995</v>
      </c>
      <c r="R503" s="5">
        <v>208115.71279999998</v>
      </c>
      <c r="S503" s="5">
        <v>59.181999999999995</v>
      </c>
      <c r="T503" s="5">
        <f t="shared" si="46"/>
        <v>1</v>
      </c>
      <c r="U503" s="5">
        <f t="shared" si="47"/>
        <v>1</v>
      </c>
      <c r="V503" s="5">
        <f t="shared" si="48"/>
        <v>1</v>
      </c>
      <c r="W503" s="5">
        <v>66.039999999999992</v>
      </c>
      <c r="X503" s="5">
        <v>0.94299999999999995</v>
      </c>
    </row>
    <row r="504" spans="1:24" x14ac:dyDescent="0.25">
      <c r="A504" s="5" t="s">
        <v>828</v>
      </c>
      <c r="B504" s="5">
        <v>58.931292024000001</v>
      </c>
      <c r="C504" s="5">
        <v>7548.3719999999994</v>
      </c>
      <c r="D504" s="6">
        <v>88.899999999999991</v>
      </c>
      <c r="E504" s="6">
        <v>127</v>
      </c>
      <c r="F504" s="5">
        <v>19.049999999999997</v>
      </c>
      <c r="G504" s="5">
        <f t="shared" si="43"/>
        <v>1</v>
      </c>
      <c r="H504" s="6" t="str">
        <f t="shared" si="44"/>
        <v>SLBB</v>
      </c>
      <c r="I504" s="5">
        <v>25.222199999999997</v>
      </c>
      <c r="J504" s="5">
        <f t="shared" si="45"/>
        <v>0</v>
      </c>
      <c r="K504" s="5">
        <v>0.58499999999999996</v>
      </c>
      <c r="L504" s="5">
        <v>4578545.6815999998</v>
      </c>
      <c r="M504" s="5">
        <v>8.1300000000000008</v>
      </c>
      <c r="N504" s="5">
        <v>4.4000000000000004</v>
      </c>
      <c r="O504" s="5">
        <v>24.739599999999999</v>
      </c>
      <c r="P504" s="5">
        <v>29718923.787839998</v>
      </c>
      <c r="Q504" s="5">
        <v>370347.64639999997</v>
      </c>
      <c r="R504" s="5">
        <v>226141.48319999999</v>
      </c>
      <c r="S504" s="5">
        <v>62.738</v>
      </c>
      <c r="T504" s="5">
        <f t="shared" si="46"/>
        <v>1</v>
      </c>
      <c r="U504" s="5">
        <f t="shared" si="47"/>
        <v>1</v>
      </c>
      <c r="V504" s="5">
        <f t="shared" si="48"/>
        <v>1</v>
      </c>
      <c r="W504" s="5">
        <v>69.341999999999999</v>
      </c>
      <c r="X504" s="5">
        <v>0.94899999999999995</v>
      </c>
    </row>
    <row r="505" spans="1:24" x14ac:dyDescent="0.25">
      <c r="A505" s="5" t="s">
        <v>829</v>
      </c>
      <c r="B505" s="5">
        <v>58.931292024000001</v>
      </c>
      <c r="C505" s="5">
        <v>7548.3719999999994</v>
      </c>
      <c r="D505" s="6">
        <v>88.899999999999991</v>
      </c>
      <c r="E505" s="6">
        <v>127</v>
      </c>
      <c r="F505" s="5">
        <v>19.049999999999997</v>
      </c>
      <c r="G505" s="5">
        <f t="shared" si="43"/>
        <v>1</v>
      </c>
      <c r="H505" s="6" t="str">
        <f t="shared" si="44"/>
        <v>SLBB</v>
      </c>
      <c r="I505" s="5">
        <v>25.222199999999997</v>
      </c>
      <c r="J505" s="5">
        <f t="shared" si="45"/>
        <v>0</v>
      </c>
      <c r="K505" s="5">
        <v>0.58499999999999996</v>
      </c>
      <c r="L505" s="5">
        <v>4578545.6815999998</v>
      </c>
      <c r="M505" s="5">
        <v>8.1300000000000008</v>
      </c>
      <c r="N505" s="5">
        <v>4.4000000000000004</v>
      </c>
      <c r="O505" s="5">
        <v>24.739599999999999</v>
      </c>
      <c r="P505" s="5">
        <v>33423383.475679997</v>
      </c>
      <c r="Q505" s="5">
        <v>404760.48079999996</v>
      </c>
      <c r="R505" s="5">
        <v>244167.2536</v>
      </c>
      <c r="S505" s="5">
        <v>66.548000000000002</v>
      </c>
      <c r="T505" s="5">
        <f t="shared" si="46"/>
        <v>1</v>
      </c>
      <c r="U505" s="5">
        <f t="shared" si="47"/>
        <v>1</v>
      </c>
      <c r="V505" s="5">
        <f t="shared" si="48"/>
        <v>1</v>
      </c>
      <c r="W505" s="5">
        <v>72.643999999999991</v>
      </c>
      <c r="X505" s="5">
        <v>0.95299999999999996</v>
      </c>
    </row>
    <row r="506" spans="1:24" x14ac:dyDescent="0.25">
      <c r="A506" s="5" t="s">
        <v>830</v>
      </c>
      <c r="B506" s="5">
        <v>50.002308384000003</v>
      </c>
      <c r="C506" s="5">
        <v>6361.2775999999994</v>
      </c>
      <c r="D506" s="6">
        <v>88.899999999999991</v>
      </c>
      <c r="E506" s="6">
        <v>127</v>
      </c>
      <c r="F506" s="5">
        <v>15.875</v>
      </c>
      <c r="G506" s="5">
        <f t="shared" si="43"/>
        <v>1</v>
      </c>
      <c r="H506" s="6" t="str">
        <f t="shared" si="44"/>
        <v>SLBB</v>
      </c>
      <c r="I506" s="5">
        <v>24.053799999999999</v>
      </c>
      <c r="J506" s="5">
        <f t="shared" si="45"/>
        <v>0</v>
      </c>
      <c r="K506" s="5">
        <v>0.49299999999999999</v>
      </c>
      <c r="L506" s="5">
        <v>3995821.6857599993</v>
      </c>
      <c r="M506" s="5">
        <v>6.87</v>
      </c>
      <c r="N506" s="5">
        <v>3.76</v>
      </c>
      <c r="O506" s="5">
        <v>25.069799999999997</v>
      </c>
      <c r="P506" s="5">
        <v>21727280.41632</v>
      </c>
      <c r="Q506" s="5">
        <v>273663.96879999997</v>
      </c>
      <c r="R506" s="5">
        <v>170425.4656</v>
      </c>
      <c r="S506" s="5">
        <v>58.419999999999995</v>
      </c>
      <c r="T506" s="5">
        <f t="shared" si="46"/>
        <v>1</v>
      </c>
      <c r="U506" s="5">
        <f t="shared" si="47"/>
        <v>1</v>
      </c>
      <c r="V506" s="5">
        <f t="shared" si="48"/>
        <v>1</v>
      </c>
      <c r="W506" s="5">
        <v>65.785999999999987</v>
      </c>
      <c r="X506" s="5">
        <v>0.94</v>
      </c>
    </row>
    <row r="507" spans="1:24" x14ac:dyDescent="0.25">
      <c r="A507" s="5" t="s">
        <v>831</v>
      </c>
      <c r="B507" s="5">
        <v>50.002308384000003</v>
      </c>
      <c r="C507" s="5">
        <v>6361.2775999999994</v>
      </c>
      <c r="D507" s="6">
        <v>88.899999999999991</v>
      </c>
      <c r="E507" s="6">
        <v>127</v>
      </c>
      <c r="F507" s="5">
        <v>15.875</v>
      </c>
      <c r="G507" s="5">
        <f t="shared" si="43"/>
        <v>1</v>
      </c>
      <c r="H507" s="6" t="str">
        <f t="shared" si="44"/>
        <v>SLBB</v>
      </c>
      <c r="I507" s="5">
        <v>24.053799999999999</v>
      </c>
      <c r="J507" s="5">
        <f t="shared" si="45"/>
        <v>0</v>
      </c>
      <c r="K507" s="5">
        <v>0.49299999999999999</v>
      </c>
      <c r="L507" s="5">
        <v>3995821.6857599993</v>
      </c>
      <c r="M507" s="5">
        <v>6.87</v>
      </c>
      <c r="N507" s="5">
        <v>3.76</v>
      </c>
      <c r="O507" s="5">
        <v>25.069799999999997</v>
      </c>
      <c r="P507" s="5">
        <v>24640900.395519998</v>
      </c>
      <c r="Q507" s="5">
        <v>303160.68399999995</v>
      </c>
      <c r="R507" s="5">
        <v>186812.52959999998</v>
      </c>
      <c r="S507" s="5">
        <v>62.230000000000004</v>
      </c>
      <c r="T507" s="5">
        <f t="shared" si="46"/>
        <v>1</v>
      </c>
      <c r="U507" s="5">
        <f t="shared" si="47"/>
        <v>1</v>
      </c>
      <c r="V507" s="5">
        <f t="shared" si="48"/>
        <v>1</v>
      </c>
      <c r="W507" s="5">
        <v>68.833999999999989</v>
      </c>
      <c r="X507" s="5">
        <v>0.94499999999999995</v>
      </c>
    </row>
    <row r="508" spans="1:24" x14ac:dyDescent="0.25">
      <c r="A508" s="5" t="s">
        <v>832</v>
      </c>
      <c r="B508" s="5">
        <v>50.002308384000003</v>
      </c>
      <c r="C508" s="5">
        <v>6361.2775999999994</v>
      </c>
      <c r="D508" s="6">
        <v>88.899999999999991</v>
      </c>
      <c r="E508" s="6">
        <v>127</v>
      </c>
      <c r="F508" s="5">
        <v>15.875</v>
      </c>
      <c r="G508" s="5">
        <f t="shared" si="43"/>
        <v>1</v>
      </c>
      <c r="H508" s="6" t="str">
        <f t="shared" si="44"/>
        <v>SLBB</v>
      </c>
      <c r="I508" s="5">
        <v>24.053799999999999</v>
      </c>
      <c r="J508" s="5">
        <f t="shared" si="45"/>
        <v>0</v>
      </c>
      <c r="K508" s="5">
        <v>0.49299999999999999</v>
      </c>
      <c r="L508" s="5">
        <v>3995821.6857599993</v>
      </c>
      <c r="M508" s="5">
        <v>6.87</v>
      </c>
      <c r="N508" s="5">
        <v>3.76</v>
      </c>
      <c r="O508" s="5">
        <v>25.069799999999997</v>
      </c>
      <c r="P508" s="5">
        <v>27512897.232159995</v>
      </c>
      <c r="Q508" s="5">
        <v>334296.10559999995</v>
      </c>
      <c r="R508" s="5">
        <v>201560.8872</v>
      </c>
      <c r="S508" s="5">
        <v>65.785999999999987</v>
      </c>
      <c r="T508" s="5">
        <f t="shared" si="46"/>
        <v>1</v>
      </c>
      <c r="U508" s="5">
        <f t="shared" si="47"/>
        <v>1</v>
      </c>
      <c r="V508" s="5">
        <f t="shared" si="48"/>
        <v>1</v>
      </c>
      <c r="W508" s="5">
        <v>72.39</v>
      </c>
      <c r="X508" s="5">
        <v>0.95</v>
      </c>
    </row>
    <row r="509" spans="1:24" x14ac:dyDescent="0.25">
      <c r="A509" s="5" t="s">
        <v>833</v>
      </c>
      <c r="B509" s="5">
        <v>40.478059168000001</v>
      </c>
      <c r="C509" s="5">
        <v>5161.28</v>
      </c>
      <c r="D509" s="6">
        <v>88.899999999999991</v>
      </c>
      <c r="E509" s="6">
        <v>127</v>
      </c>
      <c r="F509" s="5">
        <v>12.7</v>
      </c>
      <c r="G509" s="5">
        <f t="shared" si="43"/>
        <v>1</v>
      </c>
      <c r="H509" s="6" t="str">
        <f t="shared" si="44"/>
        <v>SLBB</v>
      </c>
      <c r="I509" s="5">
        <v>22.885400000000001</v>
      </c>
      <c r="J509" s="5">
        <f t="shared" si="45"/>
        <v>0</v>
      </c>
      <c r="K509" s="5">
        <v>0.4</v>
      </c>
      <c r="L509" s="5">
        <v>3346500.6618239991</v>
      </c>
      <c r="M509" s="5">
        <v>5.57</v>
      </c>
      <c r="N509" s="5">
        <v>3.09</v>
      </c>
      <c r="O509" s="5">
        <v>25.4</v>
      </c>
      <c r="P509" s="5">
        <v>17315227.304959998</v>
      </c>
      <c r="Q509" s="5">
        <v>216309.24479999996</v>
      </c>
      <c r="R509" s="5">
        <v>136340.37247999999</v>
      </c>
      <c r="S509" s="5">
        <v>57.911999999999992</v>
      </c>
      <c r="T509" s="5">
        <f t="shared" si="46"/>
        <v>1</v>
      </c>
      <c r="U509" s="5">
        <f t="shared" si="47"/>
        <v>1</v>
      </c>
      <c r="V509" s="5">
        <f t="shared" si="48"/>
        <v>1</v>
      </c>
      <c r="W509" s="5">
        <v>65.531999999999996</v>
      </c>
      <c r="X509" s="5">
        <v>0.93600000000000005</v>
      </c>
    </row>
    <row r="510" spans="1:24" x14ac:dyDescent="0.25">
      <c r="A510" s="5" t="s">
        <v>834</v>
      </c>
      <c r="B510" s="5">
        <v>40.478059168000001</v>
      </c>
      <c r="C510" s="5">
        <v>5161.28</v>
      </c>
      <c r="D510" s="6">
        <v>88.899999999999991</v>
      </c>
      <c r="E510" s="6">
        <v>127</v>
      </c>
      <c r="F510" s="5">
        <v>12.7</v>
      </c>
      <c r="G510" s="5">
        <f t="shared" si="43"/>
        <v>1</v>
      </c>
      <c r="H510" s="6" t="str">
        <f t="shared" si="44"/>
        <v>SLBB</v>
      </c>
      <c r="I510" s="5">
        <v>22.885400000000001</v>
      </c>
      <c r="J510" s="5">
        <f t="shared" si="45"/>
        <v>0</v>
      </c>
      <c r="K510" s="5">
        <v>0.4</v>
      </c>
      <c r="L510" s="5">
        <v>3346500.6618239991</v>
      </c>
      <c r="M510" s="5">
        <v>5.57</v>
      </c>
      <c r="N510" s="5">
        <v>3.09</v>
      </c>
      <c r="O510" s="5">
        <v>25.4</v>
      </c>
      <c r="P510" s="5">
        <v>19521253.860639997</v>
      </c>
      <c r="Q510" s="5">
        <v>240889.84079999998</v>
      </c>
      <c r="R510" s="5">
        <v>148139.05855999998</v>
      </c>
      <c r="S510" s="5">
        <v>61.467999999999996</v>
      </c>
      <c r="T510" s="5">
        <f t="shared" si="46"/>
        <v>1</v>
      </c>
      <c r="U510" s="5">
        <f t="shared" si="47"/>
        <v>1</v>
      </c>
      <c r="V510" s="5">
        <f t="shared" si="48"/>
        <v>1</v>
      </c>
      <c r="W510" s="5">
        <v>68.58</v>
      </c>
      <c r="X510" s="5">
        <v>0.94199999999999995</v>
      </c>
    </row>
    <row r="511" spans="1:24" x14ac:dyDescent="0.25">
      <c r="A511" s="5" t="s">
        <v>835</v>
      </c>
      <c r="B511" s="5">
        <v>40.478059168000001</v>
      </c>
      <c r="C511" s="5">
        <v>5161.28</v>
      </c>
      <c r="D511" s="6">
        <v>88.899999999999991</v>
      </c>
      <c r="E511" s="6">
        <v>127</v>
      </c>
      <c r="F511" s="5">
        <v>12.7</v>
      </c>
      <c r="G511" s="5">
        <f t="shared" si="43"/>
        <v>1</v>
      </c>
      <c r="H511" s="6" t="str">
        <f t="shared" si="44"/>
        <v>SLBB</v>
      </c>
      <c r="I511" s="5">
        <v>22.885400000000001</v>
      </c>
      <c r="J511" s="5">
        <f t="shared" si="45"/>
        <v>0</v>
      </c>
      <c r="K511" s="5">
        <v>0.4</v>
      </c>
      <c r="L511" s="5">
        <v>3346500.6618239991</v>
      </c>
      <c r="M511" s="5">
        <v>5.57</v>
      </c>
      <c r="N511" s="5">
        <v>3.09</v>
      </c>
      <c r="O511" s="5">
        <v>25.4</v>
      </c>
      <c r="P511" s="5">
        <v>21977019.271679997</v>
      </c>
      <c r="Q511" s="5">
        <v>265470.43679999997</v>
      </c>
      <c r="R511" s="5">
        <v>160920.96847999998</v>
      </c>
      <c r="S511" s="5">
        <v>65.277999999999992</v>
      </c>
      <c r="T511" s="5">
        <f t="shared" si="46"/>
        <v>1</v>
      </c>
      <c r="U511" s="5">
        <f t="shared" si="47"/>
        <v>1</v>
      </c>
      <c r="V511" s="5">
        <f t="shared" si="48"/>
        <v>1</v>
      </c>
      <c r="W511" s="5">
        <v>71.881999999999991</v>
      </c>
      <c r="X511" s="5">
        <v>0.94699999999999995</v>
      </c>
    </row>
    <row r="512" spans="1:24" x14ac:dyDescent="0.25">
      <c r="A512" s="5" t="s">
        <v>836</v>
      </c>
      <c r="B512" s="5">
        <v>30.953809952</v>
      </c>
      <c r="C512" s="5">
        <v>3935.4759999999997</v>
      </c>
      <c r="D512" s="6">
        <v>88.899999999999991</v>
      </c>
      <c r="E512" s="6">
        <v>127</v>
      </c>
      <c r="F512" s="5">
        <v>9.5249999999999986</v>
      </c>
      <c r="G512" s="5">
        <f t="shared" si="43"/>
        <v>1</v>
      </c>
      <c r="H512" s="6" t="str">
        <f t="shared" si="44"/>
        <v>SLBB</v>
      </c>
      <c r="I512" s="5">
        <v>21.691599999999998</v>
      </c>
      <c r="J512" s="5">
        <f t="shared" si="45"/>
        <v>0</v>
      </c>
      <c r="K512" s="5">
        <v>0.30499999999999999</v>
      </c>
      <c r="L512" s="5">
        <v>2626420.2955359994</v>
      </c>
      <c r="M512" s="5">
        <v>4.2300000000000004</v>
      </c>
      <c r="N512" s="5">
        <v>2.38</v>
      </c>
      <c r="O512" s="5">
        <v>25.907999999999998</v>
      </c>
      <c r="P512" s="5">
        <v>12986420.478719998</v>
      </c>
      <c r="Q512" s="5">
        <v>159937.74463999999</v>
      </c>
      <c r="R512" s="5">
        <v>102255.27936</v>
      </c>
      <c r="S512" s="5">
        <v>57.403999999999989</v>
      </c>
      <c r="T512" s="5">
        <f t="shared" si="46"/>
        <v>1</v>
      </c>
      <c r="U512" s="5">
        <f t="shared" si="47"/>
        <v>1</v>
      </c>
      <c r="V512" s="5">
        <f t="shared" si="48"/>
        <v>1</v>
      </c>
      <c r="W512" s="5">
        <v>65.024000000000001</v>
      </c>
      <c r="X512" s="5">
        <v>0.93300000000000005</v>
      </c>
    </row>
    <row r="513" spans="1:24" x14ac:dyDescent="0.25">
      <c r="A513" s="5" t="s">
        <v>837</v>
      </c>
      <c r="B513" s="5">
        <v>30.953809952</v>
      </c>
      <c r="C513" s="5">
        <v>3935.4759999999997</v>
      </c>
      <c r="D513" s="6">
        <v>88.899999999999991</v>
      </c>
      <c r="E513" s="6">
        <v>127</v>
      </c>
      <c r="F513" s="5">
        <v>9.5249999999999986</v>
      </c>
      <c r="G513" s="5">
        <f t="shared" si="43"/>
        <v>1</v>
      </c>
      <c r="H513" s="6" t="str">
        <f t="shared" si="44"/>
        <v>SLBB</v>
      </c>
      <c r="I513" s="5">
        <v>21.691599999999998</v>
      </c>
      <c r="J513" s="5">
        <f t="shared" si="45"/>
        <v>0</v>
      </c>
      <c r="K513" s="5">
        <v>0.30499999999999999</v>
      </c>
      <c r="L513" s="5">
        <v>2626420.2955359994</v>
      </c>
      <c r="M513" s="5">
        <v>4.2300000000000004</v>
      </c>
      <c r="N513" s="5">
        <v>2.38</v>
      </c>
      <c r="O513" s="5">
        <v>25.907999999999998</v>
      </c>
      <c r="P513" s="5">
        <v>14484853.610879997</v>
      </c>
      <c r="Q513" s="5">
        <v>178618.9976</v>
      </c>
      <c r="R513" s="5">
        <v>109957.19943999998</v>
      </c>
      <c r="S513" s="5">
        <v>60.706000000000003</v>
      </c>
      <c r="T513" s="5">
        <f t="shared" si="46"/>
        <v>1</v>
      </c>
      <c r="U513" s="5">
        <f t="shared" si="47"/>
        <v>1</v>
      </c>
      <c r="V513" s="5">
        <f t="shared" si="48"/>
        <v>1</v>
      </c>
      <c r="W513" s="5">
        <v>68.325999999999993</v>
      </c>
      <c r="X513" s="5">
        <v>0.93799999999999994</v>
      </c>
    </row>
    <row r="514" spans="1:24" x14ac:dyDescent="0.25">
      <c r="A514" s="5" t="s">
        <v>838</v>
      </c>
      <c r="B514" s="5">
        <v>30.953809952</v>
      </c>
      <c r="C514" s="5">
        <v>3935.4759999999997</v>
      </c>
      <c r="D514" s="6">
        <v>88.899999999999991</v>
      </c>
      <c r="E514" s="6">
        <v>127</v>
      </c>
      <c r="F514" s="5">
        <v>9.5249999999999986</v>
      </c>
      <c r="G514" s="5">
        <f t="shared" si="43"/>
        <v>1</v>
      </c>
      <c r="H514" s="6" t="str">
        <f t="shared" si="44"/>
        <v>SLBB</v>
      </c>
      <c r="I514" s="5">
        <v>21.691599999999998</v>
      </c>
      <c r="J514" s="5">
        <f t="shared" si="45"/>
        <v>0</v>
      </c>
      <c r="K514" s="5">
        <v>0.30499999999999999</v>
      </c>
      <c r="L514" s="5">
        <v>2626420.2955359994</v>
      </c>
      <c r="M514" s="5">
        <v>4.2300000000000004</v>
      </c>
      <c r="N514" s="5">
        <v>2.38</v>
      </c>
      <c r="O514" s="5">
        <v>25.907999999999998</v>
      </c>
      <c r="P514" s="5">
        <v>16399518.168639997</v>
      </c>
      <c r="Q514" s="5">
        <v>196644.76799999998</v>
      </c>
      <c r="R514" s="5">
        <v>120117.17911999999</v>
      </c>
      <c r="S514" s="5">
        <v>64.515999999999991</v>
      </c>
      <c r="T514" s="5">
        <f t="shared" si="46"/>
        <v>1</v>
      </c>
      <c r="U514" s="5">
        <f t="shared" si="47"/>
        <v>1</v>
      </c>
      <c r="V514" s="5">
        <f t="shared" si="48"/>
        <v>1</v>
      </c>
      <c r="W514" s="5">
        <v>71.373999999999995</v>
      </c>
      <c r="X514" s="5">
        <v>0.94399999999999995</v>
      </c>
    </row>
    <row r="515" spans="1:24" x14ac:dyDescent="0.25">
      <c r="A515" s="5" t="s">
        <v>839</v>
      </c>
      <c r="B515" s="5">
        <v>25.894052555999998</v>
      </c>
      <c r="C515" s="5">
        <v>3303.2192</v>
      </c>
      <c r="D515" s="6">
        <v>88.899999999999991</v>
      </c>
      <c r="E515" s="6">
        <v>127</v>
      </c>
      <c r="F515" s="5">
        <v>7.9501999999999997</v>
      </c>
      <c r="G515" s="5">
        <f t="shared" si="43"/>
        <v>1</v>
      </c>
      <c r="H515" s="6" t="str">
        <f t="shared" si="44"/>
        <v>SLBB</v>
      </c>
      <c r="I515" s="5">
        <v>21.0566</v>
      </c>
      <c r="J515" s="5">
        <f t="shared" si="45"/>
        <v>0</v>
      </c>
      <c r="K515" s="5">
        <v>0.25600000000000001</v>
      </c>
      <c r="L515" s="5">
        <v>2239325.0697279996</v>
      </c>
      <c r="M515" s="5">
        <v>3.55</v>
      </c>
      <c r="N515" s="5">
        <v>2.0099999999999998</v>
      </c>
      <c r="O515" s="5">
        <v>25.907999999999998</v>
      </c>
      <c r="P515" s="5">
        <v>10780393.923039999</v>
      </c>
      <c r="Q515" s="5">
        <v>131751.99455999996</v>
      </c>
      <c r="R515" s="5">
        <v>84884.991519999981</v>
      </c>
      <c r="S515" s="5">
        <v>57.15</v>
      </c>
      <c r="T515" s="5">
        <f t="shared" si="46"/>
        <v>1</v>
      </c>
      <c r="U515" s="5">
        <f t="shared" si="47"/>
        <v>1</v>
      </c>
      <c r="V515" s="5">
        <f t="shared" si="48"/>
        <v>1</v>
      </c>
      <c r="W515" s="5">
        <v>65.024000000000001</v>
      </c>
      <c r="X515" s="5">
        <v>0.93100000000000005</v>
      </c>
    </row>
    <row r="516" spans="1:24" x14ac:dyDescent="0.25">
      <c r="A516" s="5" t="s">
        <v>840</v>
      </c>
      <c r="B516" s="5">
        <v>25.894052555999998</v>
      </c>
      <c r="C516" s="5">
        <v>3303.2192</v>
      </c>
      <c r="D516" s="6">
        <v>88.899999999999991</v>
      </c>
      <c r="E516" s="6">
        <v>127</v>
      </c>
      <c r="F516" s="5">
        <v>7.9501999999999997</v>
      </c>
      <c r="G516" s="5">
        <f t="shared" ref="G516:G579" si="49">G515</f>
        <v>1</v>
      </c>
      <c r="H516" s="6" t="str">
        <f t="shared" ref="H516:H579" si="50">H515</f>
        <v>SLBB</v>
      </c>
      <c r="I516" s="5">
        <v>21.0566</v>
      </c>
      <c r="J516" s="5">
        <f t="shared" ref="J516:J579" si="51">J515</f>
        <v>0</v>
      </c>
      <c r="K516" s="5">
        <v>0.25600000000000001</v>
      </c>
      <c r="L516" s="5">
        <v>2239325.0697279996</v>
      </c>
      <c r="M516" s="5">
        <v>3.55</v>
      </c>
      <c r="N516" s="5">
        <v>2.0099999999999998</v>
      </c>
      <c r="O516" s="5">
        <v>25.907999999999998</v>
      </c>
      <c r="P516" s="5">
        <v>12070711.342399999</v>
      </c>
      <c r="Q516" s="5">
        <v>147483.576</v>
      </c>
      <c r="R516" s="5">
        <v>91603.687759999986</v>
      </c>
      <c r="S516" s="5">
        <v>60.451999999999991</v>
      </c>
      <c r="T516" s="5">
        <f t="shared" ref="T516:T579" si="52">T515</f>
        <v>1</v>
      </c>
      <c r="U516" s="5">
        <f t="shared" ref="U516:U579" si="53">U515</f>
        <v>1</v>
      </c>
      <c r="V516" s="5">
        <f t="shared" ref="V516:V579" si="54">V515</f>
        <v>1</v>
      </c>
      <c r="W516" s="5">
        <v>68.072000000000003</v>
      </c>
      <c r="X516" s="5">
        <v>0.93700000000000006</v>
      </c>
    </row>
    <row r="517" spans="1:24" x14ac:dyDescent="0.25">
      <c r="A517" s="5" t="s">
        <v>841</v>
      </c>
      <c r="B517" s="5">
        <v>25.894052555999998</v>
      </c>
      <c r="C517" s="5">
        <v>3303.2192</v>
      </c>
      <c r="D517" s="6">
        <v>88.899999999999991</v>
      </c>
      <c r="E517" s="6">
        <v>127</v>
      </c>
      <c r="F517" s="5">
        <v>7.9501999999999997</v>
      </c>
      <c r="G517" s="5">
        <f t="shared" si="49"/>
        <v>1</v>
      </c>
      <c r="H517" s="6" t="str">
        <f t="shared" si="50"/>
        <v>SLBB</v>
      </c>
      <c r="I517" s="5">
        <v>21.0566</v>
      </c>
      <c r="J517" s="5">
        <f t="shared" si="51"/>
        <v>0</v>
      </c>
      <c r="K517" s="5">
        <v>0.25600000000000001</v>
      </c>
      <c r="L517" s="5">
        <v>2239325.0697279996</v>
      </c>
      <c r="M517" s="5">
        <v>3.55</v>
      </c>
      <c r="N517" s="5">
        <v>2.0099999999999998</v>
      </c>
      <c r="O517" s="5">
        <v>25.907999999999998</v>
      </c>
      <c r="P517" s="5">
        <v>13527521.331999999</v>
      </c>
      <c r="Q517" s="5">
        <v>163215.15744000001</v>
      </c>
      <c r="R517" s="5">
        <v>99141.737199999989</v>
      </c>
      <c r="S517" s="5">
        <v>64.007999999999996</v>
      </c>
      <c r="T517" s="5">
        <f t="shared" si="52"/>
        <v>1</v>
      </c>
      <c r="U517" s="5">
        <f t="shared" si="53"/>
        <v>1</v>
      </c>
      <c r="V517" s="5">
        <f t="shared" si="54"/>
        <v>1</v>
      </c>
      <c r="W517" s="5">
        <v>71.373999999999995</v>
      </c>
      <c r="X517" s="5">
        <v>0.94199999999999995</v>
      </c>
    </row>
    <row r="518" spans="1:24" x14ac:dyDescent="0.25">
      <c r="A518" s="5" t="s">
        <v>842</v>
      </c>
      <c r="B518" s="5">
        <v>20.83429516</v>
      </c>
      <c r="C518" s="5">
        <v>2670.9623999999999</v>
      </c>
      <c r="D518" s="6">
        <v>88.899999999999991</v>
      </c>
      <c r="E518" s="6">
        <v>127</v>
      </c>
      <c r="F518" s="5">
        <v>6.35</v>
      </c>
      <c r="G518" s="5">
        <f t="shared" si="49"/>
        <v>1</v>
      </c>
      <c r="H518" s="6" t="str">
        <f t="shared" si="50"/>
        <v>SLBB</v>
      </c>
      <c r="I518" s="5">
        <v>20.421600000000002</v>
      </c>
      <c r="J518" s="5">
        <f t="shared" si="51"/>
        <v>0</v>
      </c>
      <c r="K518" s="5">
        <v>0.20699999999999999</v>
      </c>
      <c r="L518" s="5">
        <v>1831418.2726399999</v>
      </c>
      <c r="M518" s="5">
        <v>2.85</v>
      </c>
      <c r="N518" s="5">
        <v>1.63</v>
      </c>
      <c r="O518" s="5">
        <v>26.161999999999999</v>
      </c>
      <c r="P518" s="5">
        <v>8574367.3673599996</v>
      </c>
      <c r="Q518" s="5">
        <v>105204.95087999999</v>
      </c>
      <c r="R518" s="5">
        <v>67514.703679999991</v>
      </c>
      <c r="S518" s="5">
        <v>56.641999999999996</v>
      </c>
      <c r="T518" s="5">
        <f t="shared" si="52"/>
        <v>1</v>
      </c>
      <c r="U518" s="5">
        <f t="shared" si="53"/>
        <v>1</v>
      </c>
      <c r="V518" s="5">
        <f t="shared" si="54"/>
        <v>1</v>
      </c>
      <c r="W518" s="5">
        <v>64.77</v>
      </c>
      <c r="X518" s="5">
        <v>0.92900000000000005</v>
      </c>
    </row>
    <row r="519" spans="1:24" x14ac:dyDescent="0.25">
      <c r="A519" s="5" t="s">
        <v>843</v>
      </c>
      <c r="B519" s="5">
        <v>20.83429516</v>
      </c>
      <c r="C519" s="5">
        <v>2670.9623999999999</v>
      </c>
      <c r="D519" s="6">
        <v>88.899999999999991</v>
      </c>
      <c r="E519" s="6">
        <v>127</v>
      </c>
      <c r="F519" s="5">
        <v>6.35</v>
      </c>
      <c r="G519" s="5">
        <f t="shared" si="49"/>
        <v>1</v>
      </c>
      <c r="H519" s="6" t="str">
        <f t="shared" si="50"/>
        <v>SLBB</v>
      </c>
      <c r="I519" s="5">
        <v>20.421600000000002</v>
      </c>
      <c r="J519" s="5">
        <f t="shared" si="51"/>
        <v>0</v>
      </c>
      <c r="K519" s="5">
        <v>0.20699999999999999</v>
      </c>
      <c r="L519" s="5">
        <v>1831418.2726399999</v>
      </c>
      <c r="M519" s="5">
        <v>2.85</v>
      </c>
      <c r="N519" s="5">
        <v>1.63</v>
      </c>
      <c r="O519" s="5">
        <v>26.161999999999999</v>
      </c>
      <c r="P519" s="5">
        <v>9698192.2164799999</v>
      </c>
      <c r="Q519" s="5">
        <v>117822.99016</v>
      </c>
      <c r="R519" s="5">
        <v>73577.917359999992</v>
      </c>
      <c r="S519" s="5">
        <v>60.198</v>
      </c>
      <c r="T519" s="5">
        <f t="shared" si="52"/>
        <v>1</v>
      </c>
      <c r="U519" s="5">
        <f t="shared" si="53"/>
        <v>1</v>
      </c>
      <c r="V519" s="5">
        <f t="shared" si="54"/>
        <v>1</v>
      </c>
      <c r="W519" s="5">
        <v>67.817999999999998</v>
      </c>
      <c r="X519" s="5">
        <v>0.93500000000000005</v>
      </c>
    </row>
    <row r="520" spans="1:24" x14ac:dyDescent="0.25">
      <c r="A520" s="5" t="s">
        <v>844</v>
      </c>
      <c r="B520" s="5">
        <v>20.83429516</v>
      </c>
      <c r="C520" s="5">
        <v>2670.9623999999999</v>
      </c>
      <c r="D520" s="6">
        <v>88.899999999999991</v>
      </c>
      <c r="E520" s="6">
        <v>127</v>
      </c>
      <c r="F520" s="5">
        <v>6.35</v>
      </c>
      <c r="G520" s="5">
        <f t="shared" si="49"/>
        <v>1</v>
      </c>
      <c r="H520" s="6" t="str">
        <f t="shared" si="50"/>
        <v>SLBB</v>
      </c>
      <c r="I520" s="5">
        <v>20.421600000000002</v>
      </c>
      <c r="J520" s="5">
        <f t="shared" si="51"/>
        <v>0</v>
      </c>
      <c r="K520" s="5">
        <v>0.20699999999999999</v>
      </c>
      <c r="L520" s="5">
        <v>1831418.2726399999</v>
      </c>
      <c r="M520" s="5">
        <v>2.85</v>
      </c>
      <c r="N520" s="5">
        <v>1.63</v>
      </c>
      <c r="O520" s="5">
        <v>26.161999999999999</v>
      </c>
      <c r="P520" s="5">
        <v>10863640.20816</v>
      </c>
      <c r="Q520" s="5">
        <v>130604.90007999998</v>
      </c>
      <c r="R520" s="5">
        <v>79641.131039999993</v>
      </c>
      <c r="S520" s="5">
        <v>63.753999999999991</v>
      </c>
      <c r="T520" s="5">
        <f t="shared" si="52"/>
        <v>1</v>
      </c>
      <c r="U520" s="5">
        <f t="shared" si="53"/>
        <v>1</v>
      </c>
      <c r="V520" s="5">
        <f t="shared" si="54"/>
        <v>1</v>
      </c>
      <c r="W520" s="5">
        <v>71.11999999999999</v>
      </c>
      <c r="X520" s="5">
        <v>0.94099999999999995</v>
      </c>
    </row>
    <row r="521" spans="1:24" x14ac:dyDescent="0.25">
      <c r="A521" s="5" t="s">
        <v>845</v>
      </c>
      <c r="B521" s="5">
        <v>38.096996863999998</v>
      </c>
      <c r="C521" s="5">
        <v>4838.7</v>
      </c>
      <c r="D521" s="6">
        <v>76.199999999999989</v>
      </c>
      <c r="E521" s="6">
        <v>127</v>
      </c>
      <c r="F521" s="5">
        <v>12.7</v>
      </c>
      <c r="G521" s="5">
        <f t="shared" si="49"/>
        <v>1</v>
      </c>
      <c r="H521" s="6" t="str">
        <f t="shared" si="50"/>
        <v>SLBB</v>
      </c>
      <c r="I521" s="5">
        <v>18.948399999999999</v>
      </c>
      <c r="J521" s="5">
        <f t="shared" si="51"/>
        <v>0</v>
      </c>
      <c r="K521" s="5">
        <v>0.375</v>
      </c>
      <c r="L521" s="5">
        <v>2122780.2705599996</v>
      </c>
      <c r="M521" s="5">
        <v>4.1500000000000004</v>
      </c>
      <c r="N521" s="5">
        <v>2.2599999999999998</v>
      </c>
      <c r="O521" s="5">
        <v>20.929599999999997</v>
      </c>
      <c r="P521" s="5">
        <v>17231981.019839998</v>
      </c>
      <c r="Q521" s="5">
        <v>213031.83199999999</v>
      </c>
      <c r="R521" s="5">
        <v>135684.88991999999</v>
      </c>
      <c r="S521" s="5">
        <v>59.69</v>
      </c>
      <c r="T521" s="5">
        <f t="shared" si="52"/>
        <v>1</v>
      </c>
      <c r="U521" s="5">
        <f t="shared" si="53"/>
        <v>1</v>
      </c>
      <c r="V521" s="5">
        <f t="shared" si="54"/>
        <v>1</v>
      </c>
      <c r="W521" s="5">
        <v>64.515999999999991</v>
      </c>
      <c r="X521" s="5">
        <v>0.96199999999999997</v>
      </c>
    </row>
    <row r="522" spans="1:24" x14ac:dyDescent="0.25">
      <c r="A522" s="5" t="s">
        <v>846</v>
      </c>
      <c r="B522" s="5">
        <v>38.096996863999998</v>
      </c>
      <c r="C522" s="5">
        <v>4838.7</v>
      </c>
      <c r="D522" s="6">
        <v>76.199999999999989</v>
      </c>
      <c r="E522" s="6">
        <v>127</v>
      </c>
      <c r="F522" s="5">
        <v>12.7</v>
      </c>
      <c r="G522" s="5">
        <f t="shared" si="49"/>
        <v>1</v>
      </c>
      <c r="H522" s="6" t="str">
        <f t="shared" si="50"/>
        <v>SLBB</v>
      </c>
      <c r="I522" s="5">
        <v>18.948399999999999</v>
      </c>
      <c r="J522" s="5">
        <f t="shared" si="51"/>
        <v>0</v>
      </c>
      <c r="K522" s="5">
        <v>0.375</v>
      </c>
      <c r="L522" s="5">
        <v>2122780.2705599996</v>
      </c>
      <c r="M522" s="5">
        <v>4.1500000000000004</v>
      </c>
      <c r="N522" s="5">
        <v>2.2599999999999998</v>
      </c>
      <c r="O522" s="5">
        <v>20.929599999999997</v>
      </c>
      <c r="P522" s="5">
        <v>19521253.860639997</v>
      </c>
      <c r="Q522" s="5">
        <v>237612.42799999999</v>
      </c>
      <c r="R522" s="5">
        <v>148139.05855999998</v>
      </c>
      <c r="S522" s="5">
        <v>63.5</v>
      </c>
      <c r="T522" s="5">
        <f t="shared" si="52"/>
        <v>1</v>
      </c>
      <c r="U522" s="5">
        <f t="shared" si="53"/>
        <v>1</v>
      </c>
      <c r="V522" s="5">
        <f t="shared" si="54"/>
        <v>1</v>
      </c>
      <c r="W522" s="5">
        <v>68.072000000000003</v>
      </c>
      <c r="X522" s="5">
        <v>0.96599999999999997</v>
      </c>
    </row>
    <row r="523" spans="1:24" x14ac:dyDescent="0.25">
      <c r="A523" s="5" t="s">
        <v>847</v>
      </c>
      <c r="B523" s="5">
        <v>38.096996863999998</v>
      </c>
      <c r="C523" s="5">
        <v>4838.7</v>
      </c>
      <c r="D523" s="6">
        <v>76.199999999999989</v>
      </c>
      <c r="E523" s="6">
        <v>127</v>
      </c>
      <c r="F523" s="5">
        <v>12.7</v>
      </c>
      <c r="G523" s="5">
        <f t="shared" si="49"/>
        <v>1</v>
      </c>
      <c r="H523" s="6" t="str">
        <f t="shared" si="50"/>
        <v>SLBB</v>
      </c>
      <c r="I523" s="5">
        <v>18.948399999999999</v>
      </c>
      <c r="J523" s="5">
        <f t="shared" si="51"/>
        <v>0</v>
      </c>
      <c r="K523" s="5">
        <v>0.375</v>
      </c>
      <c r="L523" s="5">
        <v>2122780.2705599996</v>
      </c>
      <c r="M523" s="5">
        <v>4.1500000000000004</v>
      </c>
      <c r="N523" s="5">
        <v>2.2599999999999998</v>
      </c>
      <c r="O523" s="5">
        <v>20.929599999999997</v>
      </c>
      <c r="P523" s="5">
        <v>21768903.558879998</v>
      </c>
      <c r="Q523" s="5">
        <v>260554.31759999998</v>
      </c>
      <c r="R523" s="5">
        <v>159446.13271999999</v>
      </c>
      <c r="S523" s="5">
        <v>67.055999999999997</v>
      </c>
      <c r="T523" s="5">
        <f t="shared" si="52"/>
        <v>1</v>
      </c>
      <c r="U523" s="5">
        <f t="shared" si="53"/>
        <v>1</v>
      </c>
      <c r="V523" s="5">
        <f t="shared" si="54"/>
        <v>1</v>
      </c>
      <c r="W523" s="5">
        <v>71.373999999999995</v>
      </c>
      <c r="X523" s="5">
        <v>0.96899999999999997</v>
      </c>
    </row>
    <row r="524" spans="1:24" x14ac:dyDescent="0.25">
      <c r="A524" s="5" t="s">
        <v>848</v>
      </c>
      <c r="B524" s="5">
        <v>33.632505043999998</v>
      </c>
      <c r="C524" s="5">
        <v>4270.9592000000002</v>
      </c>
      <c r="D524" s="6">
        <v>76.199999999999989</v>
      </c>
      <c r="E524" s="6">
        <v>127</v>
      </c>
      <c r="F524" s="5">
        <v>11.1252</v>
      </c>
      <c r="G524" s="5">
        <f t="shared" si="49"/>
        <v>1</v>
      </c>
      <c r="H524" s="6" t="str">
        <f t="shared" si="50"/>
        <v>SLBB</v>
      </c>
      <c r="I524" s="5">
        <v>18.338799999999999</v>
      </c>
      <c r="J524" s="5">
        <f t="shared" si="51"/>
        <v>0</v>
      </c>
      <c r="K524" s="5">
        <v>0.33100000000000002</v>
      </c>
      <c r="L524" s="5">
        <v>1906339.9292479998</v>
      </c>
      <c r="M524" s="5">
        <v>3.65</v>
      </c>
      <c r="N524" s="5">
        <v>2.0099999999999998</v>
      </c>
      <c r="O524" s="5">
        <v>21.107399999999998</v>
      </c>
      <c r="P524" s="5">
        <v>15067577.606720001</v>
      </c>
      <c r="Q524" s="5">
        <v>186812.52959999998</v>
      </c>
      <c r="R524" s="5">
        <v>118642.34336</v>
      </c>
      <c r="S524" s="5">
        <v>59.435999999999993</v>
      </c>
      <c r="T524" s="5">
        <f t="shared" si="52"/>
        <v>1</v>
      </c>
      <c r="U524" s="5">
        <f t="shared" si="53"/>
        <v>1</v>
      </c>
      <c r="V524" s="5">
        <f t="shared" si="54"/>
        <v>1</v>
      </c>
      <c r="W524" s="5">
        <v>64.515999999999991</v>
      </c>
      <c r="X524" s="5">
        <v>0.96099999999999997</v>
      </c>
    </row>
    <row r="525" spans="1:24" x14ac:dyDescent="0.25">
      <c r="A525" s="5" t="s">
        <v>849</v>
      </c>
      <c r="B525" s="5">
        <v>33.632505043999998</v>
      </c>
      <c r="C525" s="5">
        <v>4270.9592000000002</v>
      </c>
      <c r="D525" s="6">
        <v>76.199999999999989</v>
      </c>
      <c r="E525" s="6">
        <v>127</v>
      </c>
      <c r="F525" s="5">
        <v>11.1252</v>
      </c>
      <c r="G525" s="5">
        <f t="shared" si="49"/>
        <v>1</v>
      </c>
      <c r="H525" s="6" t="str">
        <f t="shared" si="50"/>
        <v>SLBB</v>
      </c>
      <c r="I525" s="5">
        <v>18.338799999999999</v>
      </c>
      <c r="J525" s="5">
        <f t="shared" si="51"/>
        <v>0</v>
      </c>
      <c r="K525" s="5">
        <v>0.33100000000000002</v>
      </c>
      <c r="L525" s="5">
        <v>1906339.9292479998</v>
      </c>
      <c r="M525" s="5">
        <v>3.65</v>
      </c>
      <c r="N525" s="5">
        <v>2.0099999999999998</v>
      </c>
      <c r="O525" s="5">
        <v>21.107399999999998</v>
      </c>
      <c r="P525" s="5">
        <v>16940619.021919999</v>
      </c>
      <c r="Q525" s="5">
        <v>206477.00639999998</v>
      </c>
      <c r="R525" s="5">
        <v>128638.45239999998</v>
      </c>
      <c r="S525" s="5">
        <v>62.991999999999997</v>
      </c>
      <c r="T525" s="5">
        <f t="shared" si="52"/>
        <v>1</v>
      </c>
      <c r="U525" s="5">
        <f t="shared" si="53"/>
        <v>1</v>
      </c>
      <c r="V525" s="5">
        <f t="shared" si="54"/>
        <v>1</v>
      </c>
      <c r="W525" s="5">
        <v>67.817999999999998</v>
      </c>
      <c r="X525" s="5">
        <v>0.96399999999999997</v>
      </c>
    </row>
    <row r="526" spans="1:24" x14ac:dyDescent="0.25">
      <c r="A526" s="5" t="s">
        <v>850</v>
      </c>
      <c r="B526" s="5">
        <v>33.632505043999998</v>
      </c>
      <c r="C526" s="5">
        <v>4270.9592000000002</v>
      </c>
      <c r="D526" s="6">
        <v>76.199999999999989</v>
      </c>
      <c r="E526" s="6">
        <v>127</v>
      </c>
      <c r="F526" s="5">
        <v>11.1252</v>
      </c>
      <c r="G526" s="5">
        <f t="shared" si="49"/>
        <v>1</v>
      </c>
      <c r="H526" s="6" t="str">
        <f t="shared" si="50"/>
        <v>SLBB</v>
      </c>
      <c r="I526" s="5">
        <v>18.338799999999999</v>
      </c>
      <c r="J526" s="5">
        <f t="shared" si="51"/>
        <v>0</v>
      </c>
      <c r="K526" s="5">
        <v>0.33100000000000002</v>
      </c>
      <c r="L526" s="5">
        <v>1906339.9292479998</v>
      </c>
      <c r="M526" s="5">
        <v>3.65</v>
      </c>
      <c r="N526" s="5">
        <v>2.0099999999999998</v>
      </c>
      <c r="O526" s="5">
        <v>21.107399999999998</v>
      </c>
      <c r="P526" s="5">
        <v>19063399.292479996</v>
      </c>
      <c r="Q526" s="5">
        <v>227780.18959999998</v>
      </c>
      <c r="R526" s="5">
        <v>139617.78527999998</v>
      </c>
      <c r="S526" s="5">
        <v>66.801999999999992</v>
      </c>
      <c r="T526" s="5">
        <f t="shared" si="52"/>
        <v>1</v>
      </c>
      <c r="U526" s="5">
        <f t="shared" si="53"/>
        <v>1</v>
      </c>
      <c r="V526" s="5">
        <f t="shared" si="54"/>
        <v>1</v>
      </c>
      <c r="W526" s="5">
        <v>71.11999999999999</v>
      </c>
      <c r="X526" s="5">
        <v>0.96799999999999997</v>
      </c>
    </row>
    <row r="527" spans="1:24" x14ac:dyDescent="0.25">
      <c r="A527" s="5" t="s">
        <v>851</v>
      </c>
      <c r="B527" s="5">
        <v>29.168013224000003</v>
      </c>
      <c r="C527" s="5">
        <v>3690.3151999999995</v>
      </c>
      <c r="D527" s="6">
        <v>76.199999999999989</v>
      </c>
      <c r="E527" s="6">
        <v>127</v>
      </c>
      <c r="F527" s="5">
        <v>9.5249999999999986</v>
      </c>
      <c r="G527" s="5">
        <f t="shared" si="49"/>
        <v>1</v>
      </c>
      <c r="H527" s="6" t="str">
        <f t="shared" si="50"/>
        <v>SLBB</v>
      </c>
      <c r="I527" s="5">
        <v>17.729199999999999</v>
      </c>
      <c r="J527" s="5">
        <f t="shared" si="51"/>
        <v>0</v>
      </c>
      <c r="K527" s="5">
        <v>0.28599999999999998</v>
      </c>
      <c r="L527" s="5">
        <v>1673250.3309119996</v>
      </c>
      <c r="M527" s="5">
        <v>3.14</v>
      </c>
      <c r="N527" s="5">
        <v>1.75</v>
      </c>
      <c r="O527" s="5">
        <v>21.2852</v>
      </c>
      <c r="P527" s="5">
        <v>12944797.336159999</v>
      </c>
      <c r="Q527" s="5">
        <v>158462.90887999997</v>
      </c>
      <c r="R527" s="5">
        <v>101927.53807999998</v>
      </c>
      <c r="S527" s="5">
        <v>59.181999999999995</v>
      </c>
      <c r="T527" s="5">
        <f t="shared" si="52"/>
        <v>1</v>
      </c>
      <c r="U527" s="5">
        <f t="shared" si="53"/>
        <v>1</v>
      </c>
      <c r="V527" s="5">
        <f t="shared" si="54"/>
        <v>1</v>
      </c>
      <c r="W527" s="5">
        <v>64.261999999999986</v>
      </c>
      <c r="X527" s="5">
        <v>0.95899999999999996</v>
      </c>
    </row>
    <row r="528" spans="1:24" x14ac:dyDescent="0.25">
      <c r="A528" s="5" t="s">
        <v>852</v>
      </c>
      <c r="B528" s="5">
        <v>29.168013224000003</v>
      </c>
      <c r="C528" s="5">
        <v>3690.3151999999995</v>
      </c>
      <c r="D528" s="6">
        <v>76.199999999999989</v>
      </c>
      <c r="E528" s="6">
        <v>127</v>
      </c>
      <c r="F528" s="5">
        <v>9.5249999999999986</v>
      </c>
      <c r="G528" s="5">
        <f t="shared" si="49"/>
        <v>1</v>
      </c>
      <c r="H528" s="6" t="str">
        <f t="shared" si="50"/>
        <v>SLBB</v>
      </c>
      <c r="I528" s="5">
        <v>17.729199999999999</v>
      </c>
      <c r="J528" s="5">
        <f t="shared" si="51"/>
        <v>0</v>
      </c>
      <c r="K528" s="5">
        <v>0.28599999999999998</v>
      </c>
      <c r="L528" s="5">
        <v>1673250.3309119996</v>
      </c>
      <c r="M528" s="5">
        <v>3.14</v>
      </c>
      <c r="N528" s="5">
        <v>1.75</v>
      </c>
      <c r="O528" s="5">
        <v>21.2852</v>
      </c>
      <c r="P528" s="5">
        <v>14526476.753439998</v>
      </c>
      <c r="Q528" s="5">
        <v>175341.58479999998</v>
      </c>
      <c r="R528" s="5">
        <v>110284.94072</v>
      </c>
      <c r="S528" s="5">
        <v>62.738</v>
      </c>
      <c r="T528" s="5">
        <f t="shared" si="52"/>
        <v>1</v>
      </c>
      <c r="U528" s="5">
        <f t="shared" si="53"/>
        <v>1</v>
      </c>
      <c r="V528" s="5">
        <f t="shared" si="54"/>
        <v>1</v>
      </c>
      <c r="W528" s="5">
        <v>67.563999999999993</v>
      </c>
      <c r="X528" s="5">
        <v>0.96299999999999997</v>
      </c>
    </row>
    <row r="529" spans="1:24" x14ac:dyDescent="0.25">
      <c r="A529" s="5" t="s">
        <v>853</v>
      </c>
      <c r="B529" s="5">
        <v>29.168013224000003</v>
      </c>
      <c r="C529" s="5">
        <v>3690.3151999999995</v>
      </c>
      <c r="D529" s="6">
        <v>76.199999999999989</v>
      </c>
      <c r="E529" s="6">
        <v>127</v>
      </c>
      <c r="F529" s="5">
        <v>9.5249999999999986</v>
      </c>
      <c r="G529" s="5">
        <f t="shared" si="49"/>
        <v>1</v>
      </c>
      <c r="H529" s="6" t="str">
        <f t="shared" si="50"/>
        <v>SLBB</v>
      </c>
      <c r="I529" s="5">
        <v>17.729199999999999</v>
      </c>
      <c r="J529" s="5">
        <f t="shared" si="51"/>
        <v>0</v>
      </c>
      <c r="K529" s="5">
        <v>0.28599999999999998</v>
      </c>
      <c r="L529" s="5">
        <v>1673250.3309119996</v>
      </c>
      <c r="M529" s="5">
        <v>3.14</v>
      </c>
      <c r="N529" s="5">
        <v>1.75</v>
      </c>
      <c r="O529" s="5">
        <v>21.2852</v>
      </c>
      <c r="P529" s="5">
        <v>16357895.026079997</v>
      </c>
      <c r="Q529" s="5">
        <v>193367.35519999999</v>
      </c>
      <c r="R529" s="5">
        <v>119789.43783999998</v>
      </c>
      <c r="S529" s="5">
        <v>66.548000000000002</v>
      </c>
      <c r="T529" s="5">
        <f t="shared" si="52"/>
        <v>1</v>
      </c>
      <c r="U529" s="5">
        <f t="shared" si="53"/>
        <v>1</v>
      </c>
      <c r="V529" s="5">
        <f t="shared" si="54"/>
        <v>1</v>
      </c>
      <c r="W529" s="5">
        <v>70.866</v>
      </c>
      <c r="X529" s="5">
        <v>0.96699999999999997</v>
      </c>
    </row>
    <row r="530" spans="1:24" x14ac:dyDescent="0.25">
      <c r="A530" s="5" t="s">
        <v>854</v>
      </c>
      <c r="B530" s="5">
        <v>24.405888615999999</v>
      </c>
      <c r="C530" s="5">
        <v>3109.6712000000002</v>
      </c>
      <c r="D530" s="6">
        <v>76.199999999999989</v>
      </c>
      <c r="E530" s="6">
        <v>127</v>
      </c>
      <c r="F530" s="5">
        <v>7.9501999999999997</v>
      </c>
      <c r="G530" s="5">
        <f t="shared" si="49"/>
        <v>1</v>
      </c>
      <c r="H530" s="6" t="str">
        <f t="shared" si="50"/>
        <v>SLBB</v>
      </c>
      <c r="I530" s="5">
        <v>17.094200000000001</v>
      </c>
      <c r="J530" s="5">
        <f t="shared" si="51"/>
        <v>0</v>
      </c>
      <c r="K530" s="5">
        <v>0.24099999999999999</v>
      </c>
      <c r="L530" s="5">
        <v>1431836.1040639998</v>
      </c>
      <c r="M530" s="5">
        <v>2.62</v>
      </c>
      <c r="N530" s="5">
        <v>1.48</v>
      </c>
      <c r="O530" s="5">
        <v>21.488399999999999</v>
      </c>
      <c r="P530" s="5">
        <v>10780393.923039999</v>
      </c>
      <c r="Q530" s="5">
        <v>131915.8652</v>
      </c>
      <c r="R530" s="5">
        <v>84884.991519999981</v>
      </c>
      <c r="S530" s="5">
        <v>58.92799999999999</v>
      </c>
      <c r="T530" s="5">
        <f t="shared" si="52"/>
        <v>1</v>
      </c>
      <c r="U530" s="5">
        <f t="shared" si="53"/>
        <v>1</v>
      </c>
      <c r="V530" s="5">
        <f t="shared" si="54"/>
        <v>1</v>
      </c>
      <c r="W530" s="5">
        <v>64.007999999999996</v>
      </c>
      <c r="X530" s="5">
        <v>0.95799999999999996</v>
      </c>
    </row>
    <row r="531" spans="1:24" x14ac:dyDescent="0.25">
      <c r="A531" s="5" t="s">
        <v>855</v>
      </c>
      <c r="B531" s="5">
        <v>24.405888615999999</v>
      </c>
      <c r="C531" s="5">
        <v>3109.6712000000002</v>
      </c>
      <c r="D531" s="6">
        <v>76.199999999999989</v>
      </c>
      <c r="E531" s="6">
        <v>127</v>
      </c>
      <c r="F531" s="5">
        <v>7.9501999999999997</v>
      </c>
      <c r="G531" s="5">
        <f t="shared" si="49"/>
        <v>1</v>
      </c>
      <c r="H531" s="6" t="str">
        <f t="shared" si="50"/>
        <v>SLBB</v>
      </c>
      <c r="I531" s="5">
        <v>17.094200000000001</v>
      </c>
      <c r="J531" s="5">
        <f t="shared" si="51"/>
        <v>0</v>
      </c>
      <c r="K531" s="5">
        <v>0.24099999999999999</v>
      </c>
      <c r="L531" s="5">
        <v>1431836.1040639998</v>
      </c>
      <c r="M531" s="5">
        <v>2.62</v>
      </c>
      <c r="N531" s="5">
        <v>1.48</v>
      </c>
      <c r="O531" s="5">
        <v>21.488399999999999</v>
      </c>
      <c r="P531" s="5">
        <v>12153957.627519999</v>
      </c>
      <c r="Q531" s="5">
        <v>146664.22279999999</v>
      </c>
      <c r="R531" s="5">
        <v>92259.17031999999</v>
      </c>
      <c r="S531" s="5">
        <v>62.483999999999995</v>
      </c>
      <c r="T531" s="5">
        <f t="shared" si="52"/>
        <v>1</v>
      </c>
      <c r="U531" s="5">
        <f t="shared" si="53"/>
        <v>1</v>
      </c>
      <c r="V531" s="5">
        <f t="shared" si="54"/>
        <v>1</v>
      </c>
      <c r="W531" s="5">
        <v>67.309999999999988</v>
      </c>
      <c r="X531" s="5">
        <v>0.96199999999999997</v>
      </c>
    </row>
    <row r="532" spans="1:24" x14ac:dyDescent="0.25">
      <c r="A532" s="5" t="s">
        <v>856</v>
      </c>
      <c r="B532" s="5">
        <v>24.405888615999999</v>
      </c>
      <c r="C532" s="5">
        <v>3109.6712000000002</v>
      </c>
      <c r="D532" s="6">
        <v>76.199999999999989</v>
      </c>
      <c r="E532" s="6">
        <v>127</v>
      </c>
      <c r="F532" s="5">
        <v>7.9501999999999997</v>
      </c>
      <c r="G532" s="5">
        <f t="shared" si="49"/>
        <v>1</v>
      </c>
      <c r="H532" s="6" t="str">
        <f t="shared" si="50"/>
        <v>SLBB</v>
      </c>
      <c r="I532" s="5">
        <v>17.094200000000001</v>
      </c>
      <c r="J532" s="5">
        <f t="shared" si="51"/>
        <v>0</v>
      </c>
      <c r="K532" s="5">
        <v>0.24099999999999999</v>
      </c>
      <c r="L532" s="5">
        <v>1431836.1040639998</v>
      </c>
      <c r="M532" s="5">
        <v>2.62</v>
      </c>
      <c r="N532" s="5">
        <v>1.48</v>
      </c>
      <c r="O532" s="5">
        <v>21.488399999999999</v>
      </c>
      <c r="P532" s="5">
        <v>13569144.47456</v>
      </c>
      <c r="Q532" s="5">
        <v>161576.45103999999</v>
      </c>
      <c r="R532" s="5">
        <v>99469.478479999991</v>
      </c>
      <c r="S532" s="5">
        <v>66.039999999999992</v>
      </c>
      <c r="T532" s="5">
        <f t="shared" si="52"/>
        <v>1</v>
      </c>
      <c r="U532" s="5">
        <f t="shared" si="53"/>
        <v>1</v>
      </c>
      <c r="V532" s="5">
        <f t="shared" si="54"/>
        <v>1</v>
      </c>
      <c r="W532" s="5">
        <v>70.611999999999995</v>
      </c>
      <c r="X532" s="5">
        <v>0.96499999999999997</v>
      </c>
    </row>
    <row r="533" spans="1:24" x14ac:dyDescent="0.25">
      <c r="A533" s="5" t="s">
        <v>857</v>
      </c>
      <c r="B533" s="5">
        <v>19.643764007999998</v>
      </c>
      <c r="C533" s="5">
        <v>2503.2207999999996</v>
      </c>
      <c r="D533" s="6">
        <v>76.199999999999989</v>
      </c>
      <c r="E533" s="6">
        <v>127</v>
      </c>
      <c r="F533" s="5">
        <v>6.35</v>
      </c>
      <c r="G533" s="5">
        <f t="shared" si="49"/>
        <v>1</v>
      </c>
      <c r="H533" s="6" t="str">
        <f t="shared" si="50"/>
        <v>SLBB</v>
      </c>
      <c r="I533" s="5">
        <v>16.459199999999999</v>
      </c>
      <c r="J533" s="5">
        <f t="shared" si="51"/>
        <v>0</v>
      </c>
      <c r="K533" s="5">
        <v>0.19400000000000001</v>
      </c>
      <c r="L533" s="5">
        <v>1173772.6201919997</v>
      </c>
      <c r="M533" s="5">
        <v>2.1</v>
      </c>
      <c r="N533" s="5">
        <v>1.2</v>
      </c>
      <c r="O533" s="5">
        <v>21.6662</v>
      </c>
      <c r="P533" s="5">
        <v>8532744.2248</v>
      </c>
      <c r="Q533" s="5">
        <v>104221.72704</v>
      </c>
      <c r="R533" s="5">
        <v>67186.962399999989</v>
      </c>
      <c r="S533" s="5">
        <v>58.419999999999995</v>
      </c>
      <c r="T533" s="5">
        <f t="shared" si="52"/>
        <v>1</v>
      </c>
      <c r="U533" s="5">
        <f t="shared" si="53"/>
        <v>1</v>
      </c>
      <c r="V533" s="5">
        <f t="shared" si="54"/>
        <v>1</v>
      </c>
      <c r="W533" s="5">
        <v>63.753999999999991</v>
      </c>
      <c r="X533" s="5">
        <v>0.95699999999999996</v>
      </c>
    </row>
    <row r="534" spans="1:24" x14ac:dyDescent="0.25">
      <c r="A534" s="5" t="s">
        <v>858</v>
      </c>
      <c r="B534" s="5">
        <v>19.643764007999998</v>
      </c>
      <c r="C534" s="5">
        <v>2503.2207999999996</v>
      </c>
      <c r="D534" s="6">
        <v>76.199999999999989</v>
      </c>
      <c r="E534" s="6">
        <v>127</v>
      </c>
      <c r="F534" s="5">
        <v>6.35</v>
      </c>
      <c r="G534" s="5">
        <f t="shared" si="49"/>
        <v>1</v>
      </c>
      <c r="H534" s="6" t="str">
        <f t="shared" si="50"/>
        <v>SLBB</v>
      </c>
      <c r="I534" s="5">
        <v>16.459199999999999</v>
      </c>
      <c r="J534" s="5">
        <f t="shared" si="51"/>
        <v>0</v>
      </c>
      <c r="K534" s="5">
        <v>0.19400000000000001</v>
      </c>
      <c r="L534" s="5">
        <v>1173772.6201919997</v>
      </c>
      <c r="M534" s="5">
        <v>2.1</v>
      </c>
      <c r="N534" s="5">
        <v>1.2</v>
      </c>
      <c r="O534" s="5">
        <v>21.6662</v>
      </c>
      <c r="P534" s="5">
        <v>9614945.9313599989</v>
      </c>
      <c r="Q534" s="5">
        <v>116184.28375999999</v>
      </c>
      <c r="R534" s="5">
        <v>72922.434800000003</v>
      </c>
      <c r="S534" s="5">
        <v>61.975999999999992</v>
      </c>
      <c r="T534" s="5">
        <f t="shared" si="52"/>
        <v>1</v>
      </c>
      <c r="U534" s="5">
        <f t="shared" si="53"/>
        <v>1</v>
      </c>
      <c r="V534" s="5">
        <f t="shared" si="54"/>
        <v>1</v>
      </c>
      <c r="W534" s="5">
        <v>67.055999999999997</v>
      </c>
      <c r="X534" s="5">
        <v>0.96099999999999997</v>
      </c>
    </row>
    <row r="535" spans="1:24" x14ac:dyDescent="0.25">
      <c r="A535" s="5" t="s">
        <v>859</v>
      </c>
      <c r="B535" s="5">
        <v>19.643764007999998</v>
      </c>
      <c r="C535" s="5">
        <v>2503.2207999999996</v>
      </c>
      <c r="D535" s="6">
        <v>76.199999999999989</v>
      </c>
      <c r="E535" s="6">
        <v>127</v>
      </c>
      <c r="F535" s="5">
        <v>6.35</v>
      </c>
      <c r="G535" s="5">
        <f t="shared" si="49"/>
        <v>1</v>
      </c>
      <c r="H535" s="6" t="str">
        <f t="shared" si="50"/>
        <v>SLBB</v>
      </c>
      <c r="I535" s="5">
        <v>16.459199999999999</v>
      </c>
      <c r="J535" s="5">
        <f t="shared" si="51"/>
        <v>0</v>
      </c>
      <c r="K535" s="5">
        <v>0.19400000000000001</v>
      </c>
      <c r="L535" s="5">
        <v>1173772.6201919997</v>
      </c>
      <c r="M535" s="5">
        <v>2.1</v>
      </c>
      <c r="N535" s="5">
        <v>1.2</v>
      </c>
      <c r="O535" s="5">
        <v>21.6662</v>
      </c>
      <c r="P535" s="5">
        <v>10738770.780479999</v>
      </c>
      <c r="Q535" s="5">
        <v>128146.84048</v>
      </c>
      <c r="R535" s="5">
        <v>78657.907199999987</v>
      </c>
      <c r="S535" s="5">
        <v>65.531999999999996</v>
      </c>
      <c r="T535" s="5">
        <f t="shared" si="52"/>
        <v>1</v>
      </c>
      <c r="U535" s="5">
        <f t="shared" si="53"/>
        <v>1</v>
      </c>
      <c r="V535" s="5">
        <f t="shared" si="54"/>
        <v>1</v>
      </c>
      <c r="W535" s="5">
        <v>70.35799999999999</v>
      </c>
      <c r="X535" s="5">
        <v>0.96399999999999997</v>
      </c>
    </row>
    <row r="536" spans="1:24" x14ac:dyDescent="0.25">
      <c r="A536" s="5" t="s">
        <v>860</v>
      </c>
      <c r="B536" s="5">
        <v>35.418301772</v>
      </c>
      <c r="C536" s="5">
        <v>4516.12</v>
      </c>
      <c r="D536" s="6">
        <v>88.899999999999991</v>
      </c>
      <c r="E536" s="6">
        <v>101.6</v>
      </c>
      <c r="F536" s="5">
        <v>12.7</v>
      </c>
      <c r="G536" s="5">
        <f t="shared" si="49"/>
        <v>1</v>
      </c>
      <c r="H536" s="6" t="str">
        <f t="shared" si="50"/>
        <v>SLBB</v>
      </c>
      <c r="I536" s="5">
        <v>25.247599999999998</v>
      </c>
      <c r="J536" s="5">
        <f t="shared" si="51"/>
        <v>0</v>
      </c>
      <c r="K536" s="5">
        <v>0.438</v>
      </c>
      <c r="L536" s="5">
        <v>3134222.6347679999</v>
      </c>
      <c r="M536" s="5">
        <v>5.39</v>
      </c>
      <c r="N536" s="5">
        <v>3</v>
      </c>
      <c r="O536" s="5">
        <v>26.416</v>
      </c>
      <c r="P536" s="5">
        <v>8907352.5078399982</v>
      </c>
      <c r="Q536" s="5">
        <v>142239.71551999997</v>
      </c>
      <c r="R536" s="5">
        <v>87670.792399999991</v>
      </c>
      <c r="S536" s="5">
        <v>44.449999999999996</v>
      </c>
      <c r="T536" s="5">
        <f t="shared" si="52"/>
        <v>1</v>
      </c>
      <c r="U536" s="5">
        <f t="shared" si="53"/>
        <v>1</v>
      </c>
      <c r="V536" s="5">
        <f t="shared" si="54"/>
        <v>1</v>
      </c>
      <c r="W536" s="5">
        <v>54.863999999999997</v>
      </c>
      <c r="X536" s="5">
        <v>0.88200000000000001</v>
      </c>
    </row>
    <row r="537" spans="1:24" x14ac:dyDescent="0.25">
      <c r="A537" s="5" t="s">
        <v>861</v>
      </c>
      <c r="B537" s="5">
        <v>35.418301772</v>
      </c>
      <c r="C537" s="5">
        <v>4516.12</v>
      </c>
      <c r="D537" s="6">
        <v>88.899999999999991</v>
      </c>
      <c r="E537" s="6">
        <v>101.6</v>
      </c>
      <c r="F537" s="5">
        <v>12.7</v>
      </c>
      <c r="G537" s="5">
        <f t="shared" si="49"/>
        <v>1</v>
      </c>
      <c r="H537" s="6" t="str">
        <f t="shared" si="50"/>
        <v>SLBB</v>
      </c>
      <c r="I537" s="5">
        <v>25.247599999999998</v>
      </c>
      <c r="J537" s="5">
        <f t="shared" si="51"/>
        <v>0</v>
      </c>
      <c r="K537" s="5">
        <v>0.438</v>
      </c>
      <c r="L537" s="5">
        <v>3134222.6347679999</v>
      </c>
      <c r="M537" s="5">
        <v>5.39</v>
      </c>
      <c r="N537" s="5">
        <v>3</v>
      </c>
      <c r="O537" s="5">
        <v>26.416</v>
      </c>
      <c r="P537" s="5">
        <v>10405785.639999999</v>
      </c>
      <c r="Q537" s="5">
        <v>163706.76935999998</v>
      </c>
      <c r="R537" s="5">
        <v>97830.772079999981</v>
      </c>
      <c r="S537" s="5">
        <v>48.005999999999993</v>
      </c>
      <c r="T537" s="5">
        <f t="shared" si="52"/>
        <v>1</v>
      </c>
      <c r="U537" s="5">
        <f t="shared" si="53"/>
        <v>1</v>
      </c>
      <c r="V537" s="5">
        <f t="shared" si="54"/>
        <v>1</v>
      </c>
      <c r="W537" s="5">
        <v>57.911999999999992</v>
      </c>
      <c r="X537" s="5">
        <v>0.89300000000000002</v>
      </c>
    </row>
    <row r="538" spans="1:24" x14ac:dyDescent="0.25">
      <c r="A538" s="5" t="s">
        <v>862</v>
      </c>
      <c r="B538" s="5">
        <v>35.418301772</v>
      </c>
      <c r="C538" s="5">
        <v>4516.12</v>
      </c>
      <c r="D538" s="6">
        <v>88.899999999999991</v>
      </c>
      <c r="E538" s="6">
        <v>101.6</v>
      </c>
      <c r="F538" s="5">
        <v>12.7</v>
      </c>
      <c r="G538" s="5">
        <f t="shared" si="49"/>
        <v>1</v>
      </c>
      <c r="H538" s="6" t="str">
        <f t="shared" si="50"/>
        <v>SLBB</v>
      </c>
      <c r="I538" s="5">
        <v>25.247599999999998</v>
      </c>
      <c r="J538" s="5">
        <f t="shared" si="51"/>
        <v>0</v>
      </c>
      <c r="K538" s="5">
        <v>0.438</v>
      </c>
      <c r="L538" s="5">
        <v>3134222.6347679999</v>
      </c>
      <c r="M538" s="5">
        <v>5.39</v>
      </c>
      <c r="N538" s="5">
        <v>3</v>
      </c>
      <c r="O538" s="5">
        <v>26.416</v>
      </c>
      <c r="P538" s="5">
        <v>11987465.057279998</v>
      </c>
      <c r="Q538" s="5">
        <v>185173.82319999998</v>
      </c>
      <c r="R538" s="5">
        <v>107826.88111999999</v>
      </c>
      <c r="S538" s="5">
        <v>51.561999999999991</v>
      </c>
      <c r="T538" s="5">
        <f t="shared" si="52"/>
        <v>1</v>
      </c>
      <c r="U538" s="5">
        <f t="shared" si="53"/>
        <v>1</v>
      </c>
      <c r="V538" s="5">
        <f t="shared" si="54"/>
        <v>1</v>
      </c>
      <c r="W538" s="5">
        <v>60.959999999999994</v>
      </c>
      <c r="X538" s="5">
        <v>0.90400000000000003</v>
      </c>
    </row>
    <row r="539" spans="1:24" x14ac:dyDescent="0.25">
      <c r="A539" s="5" t="s">
        <v>863</v>
      </c>
      <c r="B539" s="5">
        <v>27.084583707999997</v>
      </c>
      <c r="C539" s="5">
        <v>3458.0576000000001</v>
      </c>
      <c r="D539" s="6">
        <v>88.899999999999991</v>
      </c>
      <c r="E539" s="6">
        <v>101.6</v>
      </c>
      <c r="F539" s="5">
        <v>9.5249999999999986</v>
      </c>
      <c r="G539" s="5">
        <f t="shared" si="49"/>
        <v>1</v>
      </c>
      <c r="H539" s="6" t="str">
        <f t="shared" si="50"/>
        <v>SLBB</v>
      </c>
      <c r="I539" s="5">
        <v>24.053799999999999</v>
      </c>
      <c r="J539" s="5">
        <f t="shared" si="51"/>
        <v>0</v>
      </c>
      <c r="K539" s="5">
        <v>0.33500000000000002</v>
      </c>
      <c r="L539" s="5">
        <v>2464090.0395519999</v>
      </c>
      <c r="M539" s="5">
        <v>4.13</v>
      </c>
      <c r="N539" s="5">
        <v>2.3199999999999998</v>
      </c>
      <c r="O539" s="5">
        <v>26.669999999999998</v>
      </c>
      <c r="P539" s="5">
        <v>6659702.8095999993</v>
      </c>
      <c r="Q539" s="5">
        <v>105368.82151999998</v>
      </c>
      <c r="R539" s="5">
        <v>65548.255999999994</v>
      </c>
      <c r="S539" s="5">
        <v>43.942</v>
      </c>
      <c r="T539" s="5">
        <f t="shared" si="52"/>
        <v>1</v>
      </c>
      <c r="U539" s="5">
        <f t="shared" si="53"/>
        <v>1</v>
      </c>
      <c r="V539" s="5">
        <f t="shared" si="54"/>
        <v>1</v>
      </c>
      <c r="W539" s="5">
        <v>54.863999999999997</v>
      </c>
      <c r="X539" s="5">
        <v>0.876</v>
      </c>
    </row>
    <row r="540" spans="1:24" x14ac:dyDescent="0.25">
      <c r="A540" s="5" t="s">
        <v>864</v>
      </c>
      <c r="B540" s="5">
        <v>27.084583707999997</v>
      </c>
      <c r="C540" s="5">
        <v>3458.0576000000001</v>
      </c>
      <c r="D540" s="6">
        <v>88.899999999999991</v>
      </c>
      <c r="E540" s="6">
        <v>101.6</v>
      </c>
      <c r="F540" s="5">
        <v>9.5249999999999986</v>
      </c>
      <c r="G540" s="5">
        <f t="shared" si="49"/>
        <v>1</v>
      </c>
      <c r="H540" s="6" t="str">
        <f t="shared" si="50"/>
        <v>SLBB</v>
      </c>
      <c r="I540" s="5">
        <v>24.053799999999999</v>
      </c>
      <c r="J540" s="5">
        <f t="shared" si="51"/>
        <v>0</v>
      </c>
      <c r="K540" s="5">
        <v>0.33500000000000002</v>
      </c>
      <c r="L540" s="5">
        <v>2464090.0395519999</v>
      </c>
      <c r="M540" s="5">
        <v>4.13</v>
      </c>
      <c r="N540" s="5">
        <v>2.3199999999999998</v>
      </c>
      <c r="O540" s="5">
        <v>26.669999999999998</v>
      </c>
      <c r="P540" s="5">
        <v>7700281.3735999996</v>
      </c>
      <c r="Q540" s="5">
        <v>121919.75615999999</v>
      </c>
      <c r="R540" s="5">
        <v>72430.822879999992</v>
      </c>
      <c r="S540" s="5">
        <v>47.244</v>
      </c>
      <c r="T540" s="5">
        <f t="shared" si="52"/>
        <v>1</v>
      </c>
      <c r="U540" s="5">
        <f t="shared" si="53"/>
        <v>1</v>
      </c>
      <c r="V540" s="5">
        <f t="shared" si="54"/>
        <v>1</v>
      </c>
      <c r="W540" s="5">
        <v>57.657999999999994</v>
      </c>
      <c r="X540" s="5">
        <v>0.88800000000000001</v>
      </c>
    </row>
    <row r="541" spans="1:24" x14ac:dyDescent="0.25">
      <c r="A541" s="5" t="s">
        <v>865</v>
      </c>
      <c r="B541" s="5">
        <v>27.084583707999997</v>
      </c>
      <c r="C541" s="5">
        <v>3458.0576000000001</v>
      </c>
      <c r="D541" s="6">
        <v>88.899999999999991</v>
      </c>
      <c r="E541" s="6">
        <v>101.6</v>
      </c>
      <c r="F541" s="5">
        <v>9.5249999999999986</v>
      </c>
      <c r="G541" s="5">
        <f t="shared" si="49"/>
        <v>1</v>
      </c>
      <c r="H541" s="6" t="str">
        <f t="shared" si="50"/>
        <v>SLBB</v>
      </c>
      <c r="I541" s="5">
        <v>24.053799999999999</v>
      </c>
      <c r="J541" s="5">
        <f t="shared" si="51"/>
        <v>0</v>
      </c>
      <c r="K541" s="5">
        <v>0.33500000000000002</v>
      </c>
      <c r="L541" s="5">
        <v>2464090.0395519999</v>
      </c>
      <c r="M541" s="5">
        <v>4.13</v>
      </c>
      <c r="N541" s="5">
        <v>2.3199999999999998</v>
      </c>
      <c r="O541" s="5">
        <v>26.669999999999998</v>
      </c>
      <c r="P541" s="5">
        <v>8907352.5078399982</v>
      </c>
      <c r="Q541" s="5">
        <v>138306.82015999997</v>
      </c>
      <c r="R541" s="5">
        <v>80132.742959999989</v>
      </c>
      <c r="S541" s="5">
        <v>50.8</v>
      </c>
      <c r="T541" s="5">
        <f t="shared" si="52"/>
        <v>1</v>
      </c>
      <c r="U541" s="5">
        <f t="shared" si="53"/>
        <v>1</v>
      </c>
      <c r="V541" s="5">
        <f t="shared" si="54"/>
        <v>1</v>
      </c>
      <c r="W541" s="5">
        <v>60.706000000000003</v>
      </c>
      <c r="X541" s="5">
        <v>0.89900000000000002</v>
      </c>
    </row>
    <row r="542" spans="1:24" x14ac:dyDescent="0.25">
      <c r="A542" s="5" t="s">
        <v>866</v>
      </c>
      <c r="B542" s="5">
        <v>22.917724675999999</v>
      </c>
      <c r="C542" s="5">
        <v>2903.22</v>
      </c>
      <c r="D542" s="6">
        <v>88.899999999999991</v>
      </c>
      <c r="E542" s="6">
        <v>101.6</v>
      </c>
      <c r="F542" s="5">
        <v>7.9501999999999997</v>
      </c>
      <c r="G542" s="5">
        <f t="shared" si="49"/>
        <v>1</v>
      </c>
      <c r="H542" s="6" t="str">
        <f t="shared" si="50"/>
        <v>SLBB</v>
      </c>
      <c r="I542" s="5">
        <v>23.444199999999999</v>
      </c>
      <c r="J542" s="5">
        <f t="shared" si="51"/>
        <v>0</v>
      </c>
      <c r="K542" s="5">
        <v>0.28100000000000003</v>
      </c>
      <c r="L542" s="5">
        <v>2101968.6992799998</v>
      </c>
      <c r="M542" s="5">
        <v>3.48</v>
      </c>
      <c r="N542" s="5">
        <v>1.96</v>
      </c>
      <c r="O542" s="5">
        <v>26.923999999999999</v>
      </c>
      <c r="P542" s="5">
        <v>5535877.9604799999</v>
      </c>
      <c r="Q542" s="5">
        <v>86195.956639999989</v>
      </c>
      <c r="R542" s="5">
        <v>54405.052479999991</v>
      </c>
      <c r="S542" s="5">
        <v>43.687999999999995</v>
      </c>
      <c r="T542" s="5">
        <f t="shared" si="52"/>
        <v>1</v>
      </c>
      <c r="U542" s="5">
        <f t="shared" si="53"/>
        <v>1</v>
      </c>
      <c r="V542" s="5">
        <f t="shared" si="54"/>
        <v>1</v>
      </c>
      <c r="W542" s="5">
        <v>54.863999999999997</v>
      </c>
      <c r="X542" s="5">
        <v>0.874</v>
      </c>
    </row>
    <row r="543" spans="1:24" x14ac:dyDescent="0.25">
      <c r="A543" s="5" t="s">
        <v>867</v>
      </c>
      <c r="B543" s="5">
        <v>22.917724675999999</v>
      </c>
      <c r="C543" s="5">
        <v>2903.22</v>
      </c>
      <c r="D543" s="6">
        <v>88.899999999999991</v>
      </c>
      <c r="E543" s="6">
        <v>101.6</v>
      </c>
      <c r="F543" s="5">
        <v>7.9501999999999997</v>
      </c>
      <c r="G543" s="5">
        <f t="shared" si="49"/>
        <v>1</v>
      </c>
      <c r="H543" s="6" t="str">
        <f t="shared" si="50"/>
        <v>SLBB</v>
      </c>
      <c r="I543" s="5">
        <v>23.444199999999999</v>
      </c>
      <c r="J543" s="5">
        <f t="shared" si="51"/>
        <v>0</v>
      </c>
      <c r="K543" s="5">
        <v>0.28100000000000003</v>
      </c>
      <c r="L543" s="5">
        <v>2101968.6992799998</v>
      </c>
      <c r="M543" s="5">
        <v>3.48</v>
      </c>
      <c r="N543" s="5">
        <v>1.96</v>
      </c>
      <c r="O543" s="5">
        <v>26.923999999999999</v>
      </c>
      <c r="P543" s="5">
        <v>6409963.9542399999</v>
      </c>
      <c r="Q543" s="5">
        <v>100124.96103999999</v>
      </c>
      <c r="R543" s="5">
        <v>60304.395519999998</v>
      </c>
      <c r="S543" s="5">
        <v>46.99</v>
      </c>
      <c r="T543" s="5">
        <f t="shared" si="52"/>
        <v>1</v>
      </c>
      <c r="U543" s="5">
        <f t="shared" si="53"/>
        <v>1</v>
      </c>
      <c r="V543" s="5">
        <f t="shared" si="54"/>
        <v>1</v>
      </c>
      <c r="W543" s="5">
        <v>57.403999999999989</v>
      </c>
      <c r="X543" s="5">
        <v>0.88500000000000001</v>
      </c>
    </row>
    <row r="544" spans="1:24" x14ac:dyDescent="0.25">
      <c r="A544" s="5" t="s">
        <v>868</v>
      </c>
      <c r="B544" s="5">
        <v>22.917724675999999</v>
      </c>
      <c r="C544" s="5">
        <v>2903.22</v>
      </c>
      <c r="D544" s="6">
        <v>88.899999999999991</v>
      </c>
      <c r="E544" s="6">
        <v>101.6</v>
      </c>
      <c r="F544" s="5">
        <v>7.9501999999999997</v>
      </c>
      <c r="G544" s="5">
        <f t="shared" si="49"/>
        <v>1</v>
      </c>
      <c r="H544" s="6" t="str">
        <f t="shared" si="50"/>
        <v>SLBB</v>
      </c>
      <c r="I544" s="5">
        <v>23.444199999999999</v>
      </c>
      <c r="J544" s="5">
        <f t="shared" si="51"/>
        <v>0</v>
      </c>
      <c r="K544" s="5">
        <v>0.28100000000000003</v>
      </c>
      <c r="L544" s="5">
        <v>2101968.6992799998</v>
      </c>
      <c r="M544" s="5">
        <v>3.48</v>
      </c>
      <c r="N544" s="5">
        <v>1.96</v>
      </c>
      <c r="O544" s="5">
        <v>26.923999999999999</v>
      </c>
      <c r="P544" s="5">
        <v>7408919.3756799996</v>
      </c>
      <c r="Q544" s="5">
        <v>113890.09479999999</v>
      </c>
      <c r="R544" s="5">
        <v>66695.350479999994</v>
      </c>
      <c r="S544" s="5">
        <v>50.545999999999999</v>
      </c>
      <c r="T544" s="5">
        <f t="shared" si="52"/>
        <v>1</v>
      </c>
      <c r="U544" s="5">
        <f t="shared" si="53"/>
        <v>1</v>
      </c>
      <c r="V544" s="5">
        <f t="shared" si="54"/>
        <v>1</v>
      </c>
      <c r="W544" s="5">
        <v>60.451999999999991</v>
      </c>
      <c r="X544" s="5">
        <v>0.89600000000000002</v>
      </c>
    </row>
    <row r="545" spans="1:24" x14ac:dyDescent="0.25">
      <c r="A545" s="5" t="s">
        <v>869</v>
      </c>
      <c r="B545" s="5">
        <v>18.453232856</v>
      </c>
      <c r="C545" s="5">
        <v>2348.3824</v>
      </c>
      <c r="D545" s="6">
        <v>88.899999999999991</v>
      </c>
      <c r="E545" s="6">
        <v>101.6</v>
      </c>
      <c r="F545" s="5">
        <v>6.35</v>
      </c>
      <c r="G545" s="5">
        <f t="shared" si="49"/>
        <v>1</v>
      </c>
      <c r="H545" s="6" t="str">
        <f t="shared" si="50"/>
        <v>SLBB</v>
      </c>
      <c r="I545" s="5">
        <v>22.783799999999999</v>
      </c>
      <c r="J545" s="5">
        <f t="shared" si="51"/>
        <v>0</v>
      </c>
      <c r="K545" s="5">
        <v>0.22800000000000001</v>
      </c>
      <c r="L545" s="5">
        <v>1719035.7877279997</v>
      </c>
      <c r="M545" s="5">
        <v>2.8</v>
      </c>
      <c r="N545" s="5">
        <v>1.59</v>
      </c>
      <c r="O545" s="5">
        <v>27.178000000000001</v>
      </c>
      <c r="P545" s="5">
        <v>4370429.9687999999</v>
      </c>
      <c r="Q545" s="5">
        <v>68006.315600000002</v>
      </c>
      <c r="R545" s="5">
        <v>42934.107680000001</v>
      </c>
      <c r="S545" s="5">
        <v>43.18</v>
      </c>
      <c r="T545" s="5">
        <f t="shared" si="52"/>
        <v>1</v>
      </c>
      <c r="U545" s="5">
        <f t="shared" si="53"/>
        <v>1</v>
      </c>
      <c r="V545" s="5">
        <f t="shared" si="54"/>
        <v>1</v>
      </c>
      <c r="W545" s="5">
        <v>54.609999999999992</v>
      </c>
      <c r="X545" s="5">
        <v>0.871</v>
      </c>
    </row>
    <row r="546" spans="1:24" x14ac:dyDescent="0.25">
      <c r="A546" s="5" t="s">
        <v>870</v>
      </c>
      <c r="B546" s="5">
        <v>18.453232856</v>
      </c>
      <c r="C546" s="5">
        <v>2348.3824</v>
      </c>
      <c r="D546" s="6">
        <v>88.899999999999991</v>
      </c>
      <c r="E546" s="6">
        <v>101.6</v>
      </c>
      <c r="F546" s="5">
        <v>6.35</v>
      </c>
      <c r="G546" s="5">
        <f t="shared" si="49"/>
        <v>1</v>
      </c>
      <c r="H546" s="6" t="str">
        <f t="shared" si="50"/>
        <v>SLBB</v>
      </c>
      <c r="I546" s="5">
        <v>22.783799999999999</v>
      </c>
      <c r="J546" s="5">
        <f t="shared" si="51"/>
        <v>0</v>
      </c>
      <c r="K546" s="5">
        <v>0.22800000000000001</v>
      </c>
      <c r="L546" s="5">
        <v>1719035.7877279997</v>
      </c>
      <c r="M546" s="5">
        <v>2.8</v>
      </c>
      <c r="N546" s="5">
        <v>1.59</v>
      </c>
      <c r="O546" s="5">
        <v>27.178000000000001</v>
      </c>
      <c r="P546" s="5">
        <v>5078023.3923199996</v>
      </c>
      <c r="Q546" s="5">
        <v>79149.519119999997</v>
      </c>
      <c r="R546" s="5">
        <v>47686.356240000001</v>
      </c>
      <c r="S546" s="5">
        <v>46.481999999999999</v>
      </c>
      <c r="T546" s="5">
        <f t="shared" si="52"/>
        <v>1</v>
      </c>
      <c r="U546" s="5">
        <f t="shared" si="53"/>
        <v>1</v>
      </c>
      <c r="V546" s="5">
        <f t="shared" si="54"/>
        <v>1</v>
      </c>
      <c r="W546" s="5">
        <v>57.403999999999989</v>
      </c>
      <c r="X546" s="5">
        <v>0.88300000000000001</v>
      </c>
    </row>
    <row r="547" spans="1:24" x14ac:dyDescent="0.25">
      <c r="A547" s="5" t="s">
        <v>871</v>
      </c>
      <c r="B547" s="5">
        <v>18.453232856</v>
      </c>
      <c r="C547" s="5">
        <v>2348.3824</v>
      </c>
      <c r="D547" s="6">
        <v>88.899999999999991</v>
      </c>
      <c r="E547" s="6">
        <v>101.6</v>
      </c>
      <c r="F547" s="5">
        <v>6.35</v>
      </c>
      <c r="G547" s="5">
        <f t="shared" si="49"/>
        <v>1</v>
      </c>
      <c r="H547" s="6" t="str">
        <f t="shared" si="50"/>
        <v>SLBB</v>
      </c>
      <c r="I547" s="5">
        <v>22.783799999999999</v>
      </c>
      <c r="J547" s="5">
        <f t="shared" si="51"/>
        <v>0</v>
      </c>
      <c r="K547" s="5">
        <v>0.22800000000000001</v>
      </c>
      <c r="L547" s="5">
        <v>1719035.7877279997</v>
      </c>
      <c r="M547" s="5">
        <v>2.8</v>
      </c>
      <c r="N547" s="5">
        <v>1.59</v>
      </c>
      <c r="O547" s="5">
        <v>27.178000000000001</v>
      </c>
      <c r="P547" s="5">
        <v>5868863.1009599995</v>
      </c>
      <c r="Q547" s="5">
        <v>90292.722639999993</v>
      </c>
      <c r="R547" s="5">
        <v>52766.346079999996</v>
      </c>
      <c r="S547" s="5">
        <v>50.037999999999997</v>
      </c>
      <c r="T547" s="5">
        <f t="shared" si="52"/>
        <v>1</v>
      </c>
      <c r="U547" s="5">
        <f t="shared" si="53"/>
        <v>1</v>
      </c>
      <c r="V547" s="5">
        <f t="shared" si="54"/>
        <v>1</v>
      </c>
      <c r="W547" s="5">
        <v>60.198</v>
      </c>
      <c r="X547" s="5">
        <v>0.89400000000000002</v>
      </c>
    </row>
    <row r="548" spans="1:24" x14ac:dyDescent="0.25">
      <c r="A548" s="5" t="s">
        <v>872</v>
      </c>
      <c r="B548" s="5">
        <v>40.478059168000001</v>
      </c>
      <c r="C548" s="5">
        <v>5148.3768</v>
      </c>
      <c r="D548" s="6">
        <v>76.199999999999989</v>
      </c>
      <c r="E548" s="6">
        <v>101.6</v>
      </c>
      <c r="F548" s="5">
        <v>15.875</v>
      </c>
      <c r="G548" s="5">
        <f t="shared" si="49"/>
        <v>1</v>
      </c>
      <c r="H548" s="6" t="str">
        <f t="shared" si="50"/>
        <v>SLBB</v>
      </c>
      <c r="I548" s="5">
        <v>22.021799999999999</v>
      </c>
      <c r="J548" s="5">
        <f t="shared" si="51"/>
        <v>0</v>
      </c>
      <c r="K548" s="5">
        <v>0.499</v>
      </c>
      <c r="L548" s="5">
        <v>2372519.12592</v>
      </c>
      <c r="M548" s="5">
        <v>4.9000000000000004</v>
      </c>
      <c r="N548" s="5">
        <v>2.67</v>
      </c>
      <c r="O548" s="5">
        <v>21.462999999999997</v>
      </c>
      <c r="P548" s="5">
        <v>11238248.491199998</v>
      </c>
      <c r="Q548" s="5">
        <v>178618.9976</v>
      </c>
      <c r="R548" s="5">
        <v>110612.68199999999</v>
      </c>
      <c r="S548" s="5">
        <v>46.735999999999997</v>
      </c>
      <c r="T548" s="5">
        <f t="shared" si="52"/>
        <v>1</v>
      </c>
      <c r="U548" s="5">
        <f t="shared" si="53"/>
        <v>1</v>
      </c>
      <c r="V548" s="5">
        <f t="shared" si="54"/>
        <v>1</v>
      </c>
      <c r="W548" s="5">
        <v>53.339999999999996</v>
      </c>
      <c r="X548" s="5">
        <v>0.93</v>
      </c>
    </row>
    <row r="549" spans="1:24" x14ac:dyDescent="0.25">
      <c r="A549" s="5" t="s">
        <v>873</v>
      </c>
      <c r="B549" s="5">
        <v>40.478059168000001</v>
      </c>
      <c r="C549" s="5">
        <v>5148.3768</v>
      </c>
      <c r="D549" s="6">
        <v>76.199999999999989</v>
      </c>
      <c r="E549" s="6">
        <v>101.6</v>
      </c>
      <c r="F549" s="5">
        <v>15.875</v>
      </c>
      <c r="G549" s="5">
        <f t="shared" si="49"/>
        <v>1</v>
      </c>
      <c r="H549" s="6" t="str">
        <f t="shared" si="50"/>
        <v>SLBB</v>
      </c>
      <c r="I549" s="5">
        <v>22.021799999999999</v>
      </c>
      <c r="J549" s="5">
        <f t="shared" si="51"/>
        <v>0</v>
      </c>
      <c r="K549" s="5">
        <v>0.499</v>
      </c>
      <c r="L549" s="5">
        <v>2372519.12592</v>
      </c>
      <c r="M549" s="5">
        <v>4.9000000000000004</v>
      </c>
      <c r="N549" s="5">
        <v>2.67</v>
      </c>
      <c r="O549" s="5">
        <v>21.462999999999997</v>
      </c>
      <c r="P549" s="5">
        <v>13028043.62128</v>
      </c>
      <c r="Q549" s="5">
        <v>203199.59359999999</v>
      </c>
      <c r="R549" s="5">
        <v>122411.36807999999</v>
      </c>
      <c r="S549" s="5">
        <v>50.291999999999994</v>
      </c>
      <c r="T549" s="5">
        <f t="shared" si="52"/>
        <v>1</v>
      </c>
      <c r="U549" s="5">
        <f t="shared" si="53"/>
        <v>1</v>
      </c>
      <c r="V549" s="5">
        <f t="shared" si="54"/>
        <v>1</v>
      </c>
      <c r="W549" s="5">
        <v>56.388000000000005</v>
      </c>
      <c r="X549" s="5">
        <v>0.93799999999999994</v>
      </c>
    </row>
    <row r="550" spans="1:24" x14ac:dyDescent="0.25">
      <c r="A550" s="5" t="s">
        <v>874</v>
      </c>
      <c r="B550" s="5">
        <v>40.478059168000001</v>
      </c>
      <c r="C550" s="5">
        <v>5148.3768</v>
      </c>
      <c r="D550" s="6">
        <v>76.199999999999989</v>
      </c>
      <c r="E550" s="6">
        <v>101.6</v>
      </c>
      <c r="F550" s="5">
        <v>15.875</v>
      </c>
      <c r="G550" s="5">
        <f t="shared" si="49"/>
        <v>1</v>
      </c>
      <c r="H550" s="6" t="str">
        <f t="shared" si="50"/>
        <v>SLBB</v>
      </c>
      <c r="I550" s="5">
        <v>22.021799999999999</v>
      </c>
      <c r="J550" s="5">
        <f t="shared" si="51"/>
        <v>0</v>
      </c>
      <c r="K550" s="5">
        <v>0.499</v>
      </c>
      <c r="L550" s="5">
        <v>2372519.12592</v>
      </c>
      <c r="M550" s="5">
        <v>4.9000000000000004</v>
      </c>
      <c r="N550" s="5">
        <v>2.67</v>
      </c>
      <c r="O550" s="5">
        <v>21.462999999999997</v>
      </c>
      <c r="P550" s="5">
        <v>15067577.606720001</v>
      </c>
      <c r="Q550" s="5">
        <v>227780.18959999998</v>
      </c>
      <c r="R550" s="5">
        <v>135521.01927999998</v>
      </c>
      <c r="S550" s="5">
        <v>54.101999999999997</v>
      </c>
      <c r="T550" s="5">
        <f t="shared" si="52"/>
        <v>1</v>
      </c>
      <c r="U550" s="5">
        <f t="shared" si="53"/>
        <v>1</v>
      </c>
      <c r="V550" s="5">
        <f t="shared" si="54"/>
        <v>1</v>
      </c>
      <c r="W550" s="5">
        <v>59.943999999999996</v>
      </c>
      <c r="X550" s="5">
        <v>0.94499999999999995</v>
      </c>
    </row>
    <row r="551" spans="1:24" x14ac:dyDescent="0.25">
      <c r="A551" s="5" t="s">
        <v>875</v>
      </c>
      <c r="B551" s="5">
        <v>33.037239467999996</v>
      </c>
      <c r="C551" s="5">
        <v>4193.54</v>
      </c>
      <c r="D551" s="6">
        <v>76.199999999999989</v>
      </c>
      <c r="E551" s="6">
        <v>101.6</v>
      </c>
      <c r="F551" s="5">
        <v>12.7</v>
      </c>
      <c r="G551" s="5">
        <f t="shared" si="49"/>
        <v>1</v>
      </c>
      <c r="H551" s="6" t="str">
        <f t="shared" si="50"/>
        <v>SLBB</v>
      </c>
      <c r="I551" s="5">
        <v>20.878799999999998</v>
      </c>
      <c r="J551" s="5">
        <f t="shared" si="51"/>
        <v>0</v>
      </c>
      <c r="K551" s="5">
        <v>0.40600000000000003</v>
      </c>
      <c r="L551" s="5">
        <v>1993748.5286239998</v>
      </c>
      <c r="M551" s="5">
        <v>3.99</v>
      </c>
      <c r="N551" s="5">
        <v>2.2000000000000002</v>
      </c>
      <c r="O551" s="5">
        <v>21.793199999999999</v>
      </c>
      <c r="P551" s="5">
        <v>8865729.3652799986</v>
      </c>
      <c r="Q551" s="5">
        <v>140601.00912</v>
      </c>
      <c r="R551" s="5">
        <v>87179.180479999995</v>
      </c>
      <c r="S551" s="5">
        <v>45.973999999999997</v>
      </c>
      <c r="T551" s="5">
        <f t="shared" si="52"/>
        <v>1</v>
      </c>
      <c r="U551" s="5">
        <f t="shared" si="53"/>
        <v>1</v>
      </c>
      <c r="V551" s="5">
        <f t="shared" si="54"/>
        <v>1</v>
      </c>
      <c r="W551" s="5">
        <v>53.085999999999991</v>
      </c>
      <c r="X551" s="5">
        <v>0.92500000000000004</v>
      </c>
    </row>
    <row r="552" spans="1:24" x14ac:dyDescent="0.25">
      <c r="A552" s="5" t="s">
        <v>876</v>
      </c>
      <c r="B552" s="5">
        <v>33.037239467999996</v>
      </c>
      <c r="C552" s="5">
        <v>4193.54</v>
      </c>
      <c r="D552" s="6">
        <v>76.199999999999989</v>
      </c>
      <c r="E552" s="6">
        <v>101.6</v>
      </c>
      <c r="F552" s="5">
        <v>12.7</v>
      </c>
      <c r="G552" s="5">
        <f t="shared" si="49"/>
        <v>1</v>
      </c>
      <c r="H552" s="6" t="str">
        <f t="shared" si="50"/>
        <v>SLBB</v>
      </c>
      <c r="I552" s="5">
        <v>20.878799999999998</v>
      </c>
      <c r="J552" s="5">
        <f t="shared" si="51"/>
        <v>0</v>
      </c>
      <c r="K552" s="5">
        <v>0.40600000000000003</v>
      </c>
      <c r="L552" s="5">
        <v>1993748.5286239998</v>
      </c>
      <c r="M552" s="5">
        <v>3.99</v>
      </c>
      <c r="N552" s="5">
        <v>2.2000000000000002</v>
      </c>
      <c r="O552" s="5">
        <v>21.793199999999999</v>
      </c>
      <c r="P552" s="5">
        <v>10280916.212319998</v>
      </c>
      <c r="Q552" s="5">
        <v>160593.22719999999</v>
      </c>
      <c r="R552" s="5">
        <v>96683.677599999995</v>
      </c>
      <c r="S552" s="5">
        <v>49.529999999999994</v>
      </c>
      <c r="T552" s="5">
        <f t="shared" si="52"/>
        <v>1</v>
      </c>
      <c r="U552" s="5">
        <f t="shared" si="53"/>
        <v>1</v>
      </c>
      <c r="V552" s="5">
        <f t="shared" si="54"/>
        <v>1</v>
      </c>
      <c r="W552" s="5">
        <v>56.133999999999993</v>
      </c>
      <c r="X552" s="5">
        <v>0.93300000000000005</v>
      </c>
    </row>
    <row r="553" spans="1:24" x14ac:dyDescent="0.25">
      <c r="A553" s="5" t="s">
        <v>877</v>
      </c>
      <c r="B553" s="5">
        <v>33.037239467999996</v>
      </c>
      <c r="C553" s="5">
        <v>4193.54</v>
      </c>
      <c r="D553" s="6">
        <v>76.199999999999989</v>
      </c>
      <c r="E553" s="6">
        <v>101.6</v>
      </c>
      <c r="F553" s="5">
        <v>12.7</v>
      </c>
      <c r="G553" s="5">
        <f t="shared" si="49"/>
        <v>1</v>
      </c>
      <c r="H553" s="6" t="str">
        <f t="shared" si="50"/>
        <v>SLBB</v>
      </c>
      <c r="I553" s="5">
        <v>20.878799999999998</v>
      </c>
      <c r="J553" s="5">
        <f t="shared" si="51"/>
        <v>0</v>
      </c>
      <c r="K553" s="5">
        <v>0.40600000000000003</v>
      </c>
      <c r="L553" s="5">
        <v>1993748.5286239998</v>
      </c>
      <c r="M553" s="5">
        <v>3.99</v>
      </c>
      <c r="N553" s="5">
        <v>2.2000000000000002</v>
      </c>
      <c r="O553" s="5">
        <v>21.793199999999999</v>
      </c>
      <c r="P553" s="5">
        <v>11945841.914719999</v>
      </c>
      <c r="Q553" s="5">
        <v>180257.70399999997</v>
      </c>
      <c r="R553" s="5">
        <v>107499.13983999999</v>
      </c>
      <c r="S553" s="5">
        <v>53.339999999999996</v>
      </c>
      <c r="T553" s="5">
        <f t="shared" si="52"/>
        <v>1</v>
      </c>
      <c r="U553" s="5">
        <f t="shared" si="53"/>
        <v>1</v>
      </c>
      <c r="V553" s="5">
        <f t="shared" si="54"/>
        <v>1</v>
      </c>
      <c r="W553" s="5">
        <v>59.435999999999993</v>
      </c>
      <c r="X553" s="5">
        <v>0.94</v>
      </c>
    </row>
    <row r="554" spans="1:24" x14ac:dyDescent="0.25">
      <c r="A554" s="5" t="s">
        <v>878</v>
      </c>
      <c r="B554" s="5">
        <v>25.298786979999999</v>
      </c>
      <c r="C554" s="5">
        <v>3212.8968</v>
      </c>
      <c r="D554" s="6">
        <v>76.199999999999989</v>
      </c>
      <c r="E554" s="6">
        <v>101.6</v>
      </c>
      <c r="F554" s="5">
        <v>9.5249999999999986</v>
      </c>
      <c r="G554" s="5">
        <f t="shared" si="49"/>
        <v>1</v>
      </c>
      <c r="H554" s="6" t="str">
        <f t="shared" si="50"/>
        <v>SLBB</v>
      </c>
      <c r="I554" s="5">
        <v>19.684999999999999</v>
      </c>
      <c r="J554" s="5">
        <f t="shared" si="51"/>
        <v>0</v>
      </c>
      <c r="K554" s="5">
        <v>0.311</v>
      </c>
      <c r="L554" s="5">
        <v>1577517.1030239998</v>
      </c>
      <c r="M554" s="5">
        <v>3.04</v>
      </c>
      <c r="N554" s="5">
        <v>1.7</v>
      </c>
      <c r="O554" s="5">
        <v>22.174199999999999</v>
      </c>
      <c r="P554" s="5">
        <v>6659702.8095999993</v>
      </c>
      <c r="Q554" s="5">
        <v>103566.24447999999</v>
      </c>
      <c r="R554" s="5">
        <v>65548.255999999994</v>
      </c>
      <c r="S554" s="5">
        <v>45.466000000000001</v>
      </c>
      <c r="T554" s="5">
        <f t="shared" si="52"/>
        <v>1</v>
      </c>
      <c r="U554" s="5">
        <f t="shared" si="53"/>
        <v>1</v>
      </c>
      <c r="V554" s="5">
        <f t="shared" si="54"/>
        <v>1</v>
      </c>
      <c r="W554" s="5">
        <v>52.832000000000001</v>
      </c>
      <c r="X554" s="5">
        <v>0.92</v>
      </c>
    </row>
    <row r="555" spans="1:24" x14ac:dyDescent="0.25">
      <c r="A555" s="5" t="s">
        <v>879</v>
      </c>
      <c r="B555" s="5">
        <v>25.298786979999999</v>
      </c>
      <c r="C555" s="5">
        <v>3212.8968</v>
      </c>
      <c r="D555" s="6">
        <v>76.199999999999989</v>
      </c>
      <c r="E555" s="6">
        <v>101.6</v>
      </c>
      <c r="F555" s="5">
        <v>9.5249999999999986</v>
      </c>
      <c r="G555" s="5">
        <f t="shared" si="49"/>
        <v>1</v>
      </c>
      <c r="H555" s="6" t="str">
        <f t="shared" si="50"/>
        <v>SLBB</v>
      </c>
      <c r="I555" s="5">
        <v>19.684999999999999</v>
      </c>
      <c r="J555" s="5">
        <f t="shared" si="51"/>
        <v>0</v>
      </c>
      <c r="K555" s="5">
        <v>0.311</v>
      </c>
      <c r="L555" s="5">
        <v>1577517.1030239998</v>
      </c>
      <c r="M555" s="5">
        <v>3.04</v>
      </c>
      <c r="N555" s="5">
        <v>1.7</v>
      </c>
      <c r="O555" s="5">
        <v>22.174199999999999</v>
      </c>
      <c r="P555" s="5">
        <v>7741904.5161600001</v>
      </c>
      <c r="Q555" s="5">
        <v>118970.08463999999</v>
      </c>
      <c r="R555" s="5">
        <v>72758.564159999994</v>
      </c>
      <c r="S555" s="5">
        <v>49.021999999999998</v>
      </c>
      <c r="T555" s="5">
        <f t="shared" si="52"/>
        <v>1</v>
      </c>
      <c r="U555" s="5">
        <f t="shared" si="53"/>
        <v>1</v>
      </c>
      <c r="V555" s="5">
        <f t="shared" si="54"/>
        <v>1</v>
      </c>
      <c r="W555" s="5">
        <v>55.88</v>
      </c>
      <c r="X555" s="5">
        <v>0.92800000000000005</v>
      </c>
    </row>
    <row r="556" spans="1:24" x14ac:dyDescent="0.25">
      <c r="A556" s="5" t="s">
        <v>880</v>
      </c>
      <c r="B556" s="5">
        <v>25.298786979999999</v>
      </c>
      <c r="C556" s="5">
        <v>3212.8968</v>
      </c>
      <c r="D556" s="6">
        <v>76.199999999999989</v>
      </c>
      <c r="E556" s="6">
        <v>101.6</v>
      </c>
      <c r="F556" s="5">
        <v>9.5249999999999986</v>
      </c>
      <c r="G556" s="5">
        <f t="shared" si="49"/>
        <v>1</v>
      </c>
      <c r="H556" s="6" t="str">
        <f t="shared" si="50"/>
        <v>SLBB</v>
      </c>
      <c r="I556" s="5">
        <v>19.684999999999999</v>
      </c>
      <c r="J556" s="5">
        <f t="shared" si="51"/>
        <v>0</v>
      </c>
      <c r="K556" s="5">
        <v>0.311</v>
      </c>
      <c r="L556" s="5">
        <v>1577517.1030239998</v>
      </c>
      <c r="M556" s="5">
        <v>3.04</v>
      </c>
      <c r="N556" s="5">
        <v>1.7</v>
      </c>
      <c r="O556" s="5">
        <v>22.174199999999999</v>
      </c>
      <c r="P556" s="5">
        <v>8865729.3652799986</v>
      </c>
      <c r="Q556" s="5">
        <v>134210.05415999997</v>
      </c>
      <c r="R556" s="5">
        <v>79805.001680000001</v>
      </c>
      <c r="S556" s="5">
        <v>52.577999999999996</v>
      </c>
      <c r="T556" s="5">
        <f t="shared" si="52"/>
        <v>1</v>
      </c>
      <c r="U556" s="5">
        <f t="shared" si="53"/>
        <v>1</v>
      </c>
      <c r="V556" s="5">
        <f t="shared" si="54"/>
        <v>1</v>
      </c>
      <c r="W556" s="5">
        <v>58.92799999999999</v>
      </c>
      <c r="X556" s="5">
        <v>0.93600000000000005</v>
      </c>
    </row>
    <row r="557" spans="1:24" x14ac:dyDescent="0.25">
      <c r="A557" s="5" t="s">
        <v>881</v>
      </c>
      <c r="B557" s="5">
        <v>21.429560735999999</v>
      </c>
      <c r="C557" s="5">
        <v>2696.7687999999998</v>
      </c>
      <c r="D557" s="6">
        <v>76.199999999999989</v>
      </c>
      <c r="E557" s="6">
        <v>101.6</v>
      </c>
      <c r="F557" s="5">
        <v>7.9501999999999997</v>
      </c>
      <c r="G557" s="5">
        <f t="shared" si="49"/>
        <v>1</v>
      </c>
      <c r="H557" s="6" t="str">
        <f t="shared" si="50"/>
        <v>SLBB</v>
      </c>
      <c r="I557" s="5">
        <v>19.049999999999997</v>
      </c>
      <c r="J557" s="5">
        <f t="shared" si="51"/>
        <v>0</v>
      </c>
      <c r="K557" s="5">
        <v>0.26100000000000001</v>
      </c>
      <c r="L557" s="5">
        <v>1348589.8189439999</v>
      </c>
      <c r="M557" s="5">
        <v>2.56</v>
      </c>
      <c r="N557" s="5">
        <v>1.44</v>
      </c>
      <c r="O557" s="5">
        <v>22.352</v>
      </c>
      <c r="P557" s="5">
        <v>5494254.8179199994</v>
      </c>
      <c r="Q557" s="5">
        <v>85540.474079999985</v>
      </c>
      <c r="R557" s="5">
        <v>54077.311199999989</v>
      </c>
      <c r="S557" s="5">
        <v>45.211999999999996</v>
      </c>
      <c r="T557" s="5">
        <f t="shared" si="52"/>
        <v>1</v>
      </c>
      <c r="U557" s="5">
        <f t="shared" si="53"/>
        <v>1</v>
      </c>
      <c r="V557" s="5">
        <f t="shared" si="54"/>
        <v>1</v>
      </c>
      <c r="W557" s="5">
        <v>52.577999999999996</v>
      </c>
      <c r="X557" s="5">
        <v>0.91800000000000004</v>
      </c>
    </row>
    <row r="558" spans="1:24" x14ac:dyDescent="0.25">
      <c r="A558" s="5" t="s">
        <v>882</v>
      </c>
      <c r="B558" s="5">
        <v>21.429560735999999</v>
      </c>
      <c r="C558" s="5">
        <v>2696.7687999999998</v>
      </c>
      <c r="D558" s="6">
        <v>76.199999999999989</v>
      </c>
      <c r="E558" s="6">
        <v>101.6</v>
      </c>
      <c r="F558" s="5">
        <v>7.9501999999999997</v>
      </c>
      <c r="G558" s="5">
        <f t="shared" si="49"/>
        <v>1</v>
      </c>
      <c r="H558" s="6" t="str">
        <f t="shared" si="50"/>
        <v>SLBB</v>
      </c>
      <c r="I558" s="5">
        <v>19.049999999999997</v>
      </c>
      <c r="J558" s="5">
        <f t="shared" si="51"/>
        <v>0</v>
      </c>
      <c r="K558" s="5">
        <v>0.26100000000000001</v>
      </c>
      <c r="L558" s="5">
        <v>1348589.8189439999</v>
      </c>
      <c r="M558" s="5">
        <v>2.56</v>
      </c>
      <c r="N558" s="5">
        <v>1.44</v>
      </c>
      <c r="O558" s="5">
        <v>22.352</v>
      </c>
      <c r="P558" s="5">
        <v>6326717.6691199988</v>
      </c>
      <c r="Q558" s="5">
        <v>98486.254639999985</v>
      </c>
      <c r="R558" s="5">
        <v>59485.042319999993</v>
      </c>
      <c r="S558" s="5">
        <v>48.513999999999996</v>
      </c>
      <c r="T558" s="5">
        <f t="shared" si="52"/>
        <v>1</v>
      </c>
      <c r="U558" s="5">
        <f t="shared" si="53"/>
        <v>1</v>
      </c>
      <c r="V558" s="5">
        <f t="shared" si="54"/>
        <v>1</v>
      </c>
      <c r="W558" s="5">
        <v>55.625999999999998</v>
      </c>
      <c r="X558" s="5">
        <v>0.92600000000000005</v>
      </c>
    </row>
    <row r="559" spans="1:24" x14ac:dyDescent="0.25">
      <c r="A559" s="5" t="s">
        <v>883</v>
      </c>
      <c r="B559" s="5">
        <v>21.429560735999999</v>
      </c>
      <c r="C559" s="5">
        <v>2696.7687999999998</v>
      </c>
      <c r="D559" s="6">
        <v>76.199999999999989</v>
      </c>
      <c r="E559" s="6">
        <v>101.6</v>
      </c>
      <c r="F559" s="5">
        <v>7.9501999999999997</v>
      </c>
      <c r="G559" s="5">
        <f t="shared" si="49"/>
        <v>1</v>
      </c>
      <c r="H559" s="6" t="str">
        <f t="shared" si="50"/>
        <v>SLBB</v>
      </c>
      <c r="I559" s="5">
        <v>19.049999999999997</v>
      </c>
      <c r="J559" s="5">
        <f t="shared" si="51"/>
        <v>0</v>
      </c>
      <c r="K559" s="5">
        <v>0.26100000000000001</v>
      </c>
      <c r="L559" s="5">
        <v>1348589.8189439999</v>
      </c>
      <c r="M559" s="5">
        <v>2.56</v>
      </c>
      <c r="N559" s="5">
        <v>1.44</v>
      </c>
      <c r="O559" s="5">
        <v>22.352</v>
      </c>
      <c r="P559" s="5">
        <v>7367296.2331199991</v>
      </c>
      <c r="Q559" s="5">
        <v>111268.16455999999</v>
      </c>
      <c r="R559" s="5">
        <v>66367.609199999992</v>
      </c>
      <c r="S559" s="5">
        <v>52.323999999999998</v>
      </c>
      <c r="T559" s="5">
        <f t="shared" si="52"/>
        <v>1</v>
      </c>
      <c r="U559" s="5">
        <f t="shared" si="53"/>
        <v>1</v>
      </c>
      <c r="V559" s="5">
        <f t="shared" si="54"/>
        <v>1</v>
      </c>
      <c r="W559" s="5">
        <v>58.92799999999999</v>
      </c>
      <c r="X559" s="5">
        <v>0.93400000000000005</v>
      </c>
    </row>
    <row r="560" spans="1:24" x14ac:dyDescent="0.25">
      <c r="A560" s="5" t="s">
        <v>884</v>
      </c>
      <c r="B560" s="5">
        <v>17.262701703999998</v>
      </c>
      <c r="C560" s="5">
        <v>2180.6407999999997</v>
      </c>
      <c r="D560" s="6">
        <v>76.199999999999989</v>
      </c>
      <c r="E560" s="6">
        <v>101.6</v>
      </c>
      <c r="F560" s="5">
        <v>6.35</v>
      </c>
      <c r="G560" s="5">
        <f t="shared" si="49"/>
        <v>1</v>
      </c>
      <c r="H560" s="6" t="str">
        <f t="shared" si="50"/>
        <v>SLBB</v>
      </c>
      <c r="I560" s="5">
        <v>18.414999999999999</v>
      </c>
      <c r="J560" s="5">
        <f t="shared" si="51"/>
        <v>0</v>
      </c>
      <c r="K560" s="5">
        <v>0.21099999999999999</v>
      </c>
      <c r="L560" s="5">
        <v>1107175.592096</v>
      </c>
      <c r="M560" s="5">
        <v>2.06</v>
      </c>
      <c r="N560" s="5">
        <v>1.17</v>
      </c>
      <c r="O560" s="5">
        <v>22.529799999999998</v>
      </c>
      <c r="P560" s="5">
        <v>4370429.9687999999</v>
      </c>
      <c r="Q560" s="5">
        <v>67514.703679999991</v>
      </c>
      <c r="R560" s="5">
        <v>42934.107680000001</v>
      </c>
      <c r="S560" s="5">
        <v>44.704000000000001</v>
      </c>
      <c r="T560" s="5">
        <f t="shared" si="52"/>
        <v>1</v>
      </c>
      <c r="U560" s="5">
        <f t="shared" si="53"/>
        <v>1</v>
      </c>
      <c r="V560" s="5">
        <f t="shared" si="54"/>
        <v>1</v>
      </c>
      <c r="W560" s="5">
        <v>52.323999999999998</v>
      </c>
      <c r="X560" s="5">
        <v>0.91500000000000004</v>
      </c>
    </row>
    <row r="561" spans="1:24" x14ac:dyDescent="0.25">
      <c r="A561" s="5" t="s">
        <v>885</v>
      </c>
      <c r="B561" s="5">
        <v>17.262701703999998</v>
      </c>
      <c r="C561" s="5">
        <v>2180.6407999999997</v>
      </c>
      <c r="D561" s="6">
        <v>76.199999999999989</v>
      </c>
      <c r="E561" s="6">
        <v>101.6</v>
      </c>
      <c r="F561" s="5">
        <v>6.35</v>
      </c>
      <c r="G561" s="5">
        <f t="shared" si="49"/>
        <v>1</v>
      </c>
      <c r="H561" s="6" t="str">
        <f t="shared" si="50"/>
        <v>SLBB</v>
      </c>
      <c r="I561" s="5">
        <v>18.414999999999999</v>
      </c>
      <c r="J561" s="5">
        <f t="shared" si="51"/>
        <v>0</v>
      </c>
      <c r="K561" s="5">
        <v>0.21099999999999999</v>
      </c>
      <c r="L561" s="5">
        <v>1107175.592096</v>
      </c>
      <c r="M561" s="5">
        <v>2.06</v>
      </c>
      <c r="N561" s="5">
        <v>1.17</v>
      </c>
      <c r="O561" s="5">
        <v>22.529799999999998</v>
      </c>
      <c r="P561" s="5">
        <v>5078023.3923199996</v>
      </c>
      <c r="Q561" s="5">
        <v>78002.424639999983</v>
      </c>
      <c r="R561" s="5">
        <v>47686.356240000001</v>
      </c>
      <c r="S561" s="5">
        <v>48.26</v>
      </c>
      <c r="T561" s="5">
        <f t="shared" si="52"/>
        <v>1</v>
      </c>
      <c r="U561" s="5">
        <f t="shared" si="53"/>
        <v>1</v>
      </c>
      <c r="V561" s="5">
        <f t="shared" si="54"/>
        <v>1</v>
      </c>
      <c r="W561" s="5">
        <v>55.372</v>
      </c>
      <c r="X561" s="5">
        <v>0.92400000000000004</v>
      </c>
    </row>
    <row r="562" spans="1:24" x14ac:dyDescent="0.25">
      <c r="A562" s="5" t="s">
        <v>886</v>
      </c>
      <c r="B562" s="5">
        <v>17.262701703999998</v>
      </c>
      <c r="C562" s="5">
        <v>2180.6407999999997</v>
      </c>
      <c r="D562" s="6">
        <v>76.199999999999989</v>
      </c>
      <c r="E562" s="6">
        <v>101.6</v>
      </c>
      <c r="F562" s="5">
        <v>6.35</v>
      </c>
      <c r="G562" s="5">
        <f t="shared" si="49"/>
        <v>1</v>
      </c>
      <c r="H562" s="6" t="str">
        <f t="shared" si="50"/>
        <v>SLBB</v>
      </c>
      <c r="I562" s="5">
        <v>18.414999999999999</v>
      </c>
      <c r="J562" s="5">
        <f t="shared" si="51"/>
        <v>0</v>
      </c>
      <c r="K562" s="5">
        <v>0.21099999999999999</v>
      </c>
      <c r="L562" s="5">
        <v>1107175.592096</v>
      </c>
      <c r="M562" s="5">
        <v>2.06</v>
      </c>
      <c r="N562" s="5">
        <v>1.17</v>
      </c>
      <c r="O562" s="5">
        <v>22.529799999999998</v>
      </c>
      <c r="P562" s="5">
        <v>5868863.1009599995</v>
      </c>
      <c r="Q562" s="5">
        <v>88326.274959999981</v>
      </c>
      <c r="R562" s="5">
        <v>52766.346079999996</v>
      </c>
      <c r="S562" s="5">
        <v>51.815999999999995</v>
      </c>
      <c r="T562" s="5">
        <f t="shared" si="52"/>
        <v>1</v>
      </c>
      <c r="U562" s="5">
        <f t="shared" si="53"/>
        <v>1</v>
      </c>
      <c r="V562" s="5">
        <f t="shared" si="54"/>
        <v>1</v>
      </c>
      <c r="W562" s="5">
        <v>58.673999999999999</v>
      </c>
      <c r="X562" s="5">
        <v>0.93200000000000005</v>
      </c>
    </row>
    <row r="563" spans="1:24" x14ac:dyDescent="0.25">
      <c r="A563" s="5" t="s">
        <v>887</v>
      </c>
      <c r="B563" s="5">
        <v>30.358544375999998</v>
      </c>
      <c r="C563" s="5">
        <v>3896.7664</v>
      </c>
      <c r="D563" s="6">
        <v>76.199999999999989</v>
      </c>
      <c r="E563" s="6">
        <v>88.899999999999991</v>
      </c>
      <c r="F563" s="5">
        <v>12.7</v>
      </c>
      <c r="G563" s="5">
        <f t="shared" si="49"/>
        <v>1</v>
      </c>
      <c r="H563" s="6" t="str">
        <f t="shared" si="50"/>
        <v>SLBB</v>
      </c>
      <c r="I563" s="5">
        <v>22.072599999999998</v>
      </c>
      <c r="J563" s="5">
        <f t="shared" si="51"/>
        <v>0</v>
      </c>
      <c r="K563" s="5">
        <v>0.43099999999999999</v>
      </c>
      <c r="L563" s="5">
        <v>1935476.12904</v>
      </c>
      <c r="M563" s="5">
        <v>3.94</v>
      </c>
      <c r="N563" s="5">
        <v>2.1800000000000002</v>
      </c>
      <c r="O563" s="5">
        <v>22.2758</v>
      </c>
      <c r="P563" s="5">
        <v>6035355.6711999997</v>
      </c>
      <c r="Q563" s="5">
        <v>110776.55263999998</v>
      </c>
      <c r="R563" s="5">
        <v>67842.444959999993</v>
      </c>
      <c r="S563" s="5">
        <v>39.369999999999997</v>
      </c>
      <c r="T563" s="5">
        <f t="shared" si="52"/>
        <v>1</v>
      </c>
      <c r="U563" s="5">
        <f t="shared" si="53"/>
        <v>1</v>
      </c>
      <c r="V563" s="5">
        <f t="shared" si="54"/>
        <v>1</v>
      </c>
      <c r="W563" s="5">
        <v>47.751999999999995</v>
      </c>
      <c r="X563" s="5">
        <v>0.89200000000000002</v>
      </c>
    </row>
    <row r="564" spans="1:24" x14ac:dyDescent="0.25">
      <c r="A564" s="5" t="s">
        <v>888</v>
      </c>
      <c r="B564" s="5">
        <v>30.358544375999998</v>
      </c>
      <c r="C564" s="5">
        <v>3896.7664</v>
      </c>
      <c r="D564" s="6">
        <v>76.199999999999989</v>
      </c>
      <c r="E564" s="6">
        <v>88.899999999999991</v>
      </c>
      <c r="F564" s="5">
        <v>12.7</v>
      </c>
      <c r="G564" s="5">
        <f t="shared" si="49"/>
        <v>1</v>
      </c>
      <c r="H564" s="6" t="str">
        <f t="shared" si="50"/>
        <v>SLBB</v>
      </c>
      <c r="I564" s="5">
        <v>22.072599999999998</v>
      </c>
      <c r="J564" s="5">
        <f t="shared" si="51"/>
        <v>0</v>
      </c>
      <c r="K564" s="5">
        <v>0.43099999999999999</v>
      </c>
      <c r="L564" s="5">
        <v>1935476.12904</v>
      </c>
      <c r="M564" s="5">
        <v>3.94</v>
      </c>
      <c r="N564" s="5">
        <v>2.1800000000000002</v>
      </c>
      <c r="O564" s="5">
        <v>22.2758</v>
      </c>
      <c r="P564" s="5">
        <v>7200803.6628799997</v>
      </c>
      <c r="Q564" s="5">
        <v>129457.80559999999</v>
      </c>
      <c r="R564" s="5">
        <v>76855.330159999998</v>
      </c>
      <c r="S564" s="5">
        <v>42.925999999999995</v>
      </c>
      <c r="T564" s="5">
        <f t="shared" si="52"/>
        <v>1</v>
      </c>
      <c r="U564" s="5">
        <f t="shared" si="53"/>
        <v>1</v>
      </c>
      <c r="V564" s="5">
        <f t="shared" si="54"/>
        <v>1</v>
      </c>
      <c r="W564" s="5">
        <v>50.8</v>
      </c>
      <c r="X564" s="5">
        <v>0.90400000000000003</v>
      </c>
    </row>
    <row r="565" spans="1:24" x14ac:dyDescent="0.25">
      <c r="A565" s="5" t="s">
        <v>889</v>
      </c>
      <c r="B565" s="5">
        <v>30.358544375999998</v>
      </c>
      <c r="C565" s="5">
        <v>3896.7664</v>
      </c>
      <c r="D565" s="6">
        <v>76.199999999999989</v>
      </c>
      <c r="E565" s="6">
        <v>88.899999999999991</v>
      </c>
      <c r="F565" s="5">
        <v>12.7</v>
      </c>
      <c r="G565" s="5">
        <f t="shared" si="49"/>
        <v>1</v>
      </c>
      <c r="H565" s="6" t="str">
        <f t="shared" si="50"/>
        <v>SLBB</v>
      </c>
      <c r="I565" s="5">
        <v>22.072599999999998</v>
      </c>
      <c r="J565" s="5">
        <f t="shared" si="51"/>
        <v>0</v>
      </c>
      <c r="K565" s="5">
        <v>0.43099999999999999</v>
      </c>
      <c r="L565" s="5">
        <v>1935476.12904</v>
      </c>
      <c r="M565" s="5">
        <v>3.94</v>
      </c>
      <c r="N565" s="5">
        <v>2.1800000000000002</v>
      </c>
      <c r="O565" s="5">
        <v>22.2758</v>
      </c>
      <c r="P565" s="5">
        <v>8491121.0822399985</v>
      </c>
      <c r="Q565" s="5">
        <v>147975.18791999997</v>
      </c>
      <c r="R565" s="5">
        <v>86195.956639999989</v>
      </c>
      <c r="S565" s="5">
        <v>46.735999999999997</v>
      </c>
      <c r="T565" s="5">
        <f t="shared" si="52"/>
        <v>1</v>
      </c>
      <c r="U565" s="5">
        <f t="shared" si="53"/>
        <v>1</v>
      </c>
      <c r="V565" s="5">
        <f t="shared" si="54"/>
        <v>1</v>
      </c>
      <c r="W565" s="5">
        <v>54.101999999999997</v>
      </c>
      <c r="X565" s="5">
        <v>0.91500000000000004</v>
      </c>
    </row>
    <row r="566" spans="1:24" x14ac:dyDescent="0.25">
      <c r="A566" s="5" t="s">
        <v>890</v>
      </c>
      <c r="B566" s="5">
        <v>27.084583707999997</v>
      </c>
      <c r="C566" s="5">
        <v>3445.1543999999999</v>
      </c>
      <c r="D566" s="6">
        <v>76.199999999999989</v>
      </c>
      <c r="E566" s="6">
        <v>88.899999999999991</v>
      </c>
      <c r="F566" s="5">
        <v>11.1252</v>
      </c>
      <c r="G566" s="5">
        <f t="shared" si="49"/>
        <v>1</v>
      </c>
      <c r="H566" s="6" t="str">
        <f t="shared" si="50"/>
        <v>SLBB</v>
      </c>
      <c r="I566" s="5">
        <v>21.488399999999999</v>
      </c>
      <c r="J566" s="5">
        <f t="shared" si="51"/>
        <v>0</v>
      </c>
      <c r="K566" s="5">
        <v>0.38100000000000001</v>
      </c>
      <c r="L566" s="5">
        <v>1739847.3590079998</v>
      </c>
      <c r="M566" s="5">
        <v>3.49</v>
      </c>
      <c r="N566" s="5">
        <v>1.94</v>
      </c>
      <c r="O566" s="5">
        <v>22.478999999999999</v>
      </c>
      <c r="P566" s="5">
        <v>5286139.1051199995</v>
      </c>
      <c r="Q566" s="5">
        <v>95372.712480000002</v>
      </c>
      <c r="R566" s="5">
        <v>59485.042319999993</v>
      </c>
      <c r="S566" s="5">
        <v>39.116</v>
      </c>
      <c r="T566" s="5">
        <f t="shared" si="52"/>
        <v>1</v>
      </c>
      <c r="U566" s="5">
        <f t="shared" si="53"/>
        <v>1</v>
      </c>
      <c r="V566" s="5">
        <f t="shared" si="54"/>
        <v>1</v>
      </c>
      <c r="W566" s="5">
        <v>47.751999999999995</v>
      </c>
      <c r="X566" s="5">
        <v>0.88900000000000001</v>
      </c>
    </row>
    <row r="567" spans="1:24" x14ac:dyDescent="0.25">
      <c r="A567" s="5" t="s">
        <v>891</v>
      </c>
      <c r="B567" s="5">
        <v>27.084583707999997</v>
      </c>
      <c r="C567" s="5">
        <v>3445.1543999999999</v>
      </c>
      <c r="D567" s="6">
        <v>76.199999999999989</v>
      </c>
      <c r="E567" s="6">
        <v>88.899999999999991</v>
      </c>
      <c r="F567" s="5">
        <v>11.1252</v>
      </c>
      <c r="G567" s="5">
        <f t="shared" si="49"/>
        <v>1</v>
      </c>
      <c r="H567" s="6" t="str">
        <f t="shared" si="50"/>
        <v>SLBB</v>
      </c>
      <c r="I567" s="5">
        <v>21.488399999999999</v>
      </c>
      <c r="J567" s="5">
        <f t="shared" si="51"/>
        <v>0</v>
      </c>
      <c r="K567" s="5">
        <v>0.38100000000000001</v>
      </c>
      <c r="L567" s="5">
        <v>1739847.3590079998</v>
      </c>
      <c r="M567" s="5">
        <v>3.49</v>
      </c>
      <c r="N567" s="5">
        <v>1.94</v>
      </c>
      <c r="O567" s="5">
        <v>22.478999999999999</v>
      </c>
      <c r="P567" s="5">
        <v>6201848.2414399991</v>
      </c>
      <c r="Q567" s="5">
        <v>111759.77648</v>
      </c>
      <c r="R567" s="5">
        <v>66203.738559999998</v>
      </c>
      <c r="S567" s="5">
        <v>42.417999999999999</v>
      </c>
      <c r="T567" s="5">
        <f t="shared" si="52"/>
        <v>1</v>
      </c>
      <c r="U567" s="5">
        <f t="shared" si="53"/>
        <v>1</v>
      </c>
      <c r="V567" s="5">
        <f t="shared" si="54"/>
        <v>1</v>
      </c>
      <c r="W567" s="5">
        <v>50.545999999999999</v>
      </c>
      <c r="X567" s="5">
        <v>0.90100000000000002</v>
      </c>
    </row>
    <row r="568" spans="1:24" x14ac:dyDescent="0.25">
      <c r="A568" s="5" t="s">
        <v>892</v>
      </c>
      <c r="B568" s="5">
        <v>27.084583707999997</v>
      </c>
      <c r="C568" s="5">
        <v>3445.1543999999999</v>
      </c>
      <c r="D568" s="6">
        <v>76.199999999999989</v>
      </c>
      <c r="E568" s="6">
        <v>88.899999999999991</v>
      </c>
      <c r="F568" s="5">
        <v>11.1252</v>
      </c>
      <c r="G568" s="5">
        <f t="shared" si="49"/>
        <v>1</v>
      </c>
      <c r="H568" s="6" t="str">
        <f t="shared" si="50"/>
        <v>SLBB</v>
      </c>
      <c r="I568" s="5">
        <v>21.488399999999999</v>
      </c>
      <c r="J568" s="5">
        <f t="shared" si="51"/>
        <v>0</v>
      </c>
      <c r="K568" s="5">
        <v>0.38100000000000001</v>
      </c>
      <c r="L568" s="5">
        <v>1739847.3590079998</v>
      </c>
      <c r="M568" s="5">
        <v>3.49</v>
      </c>
      <c r="N568" s="5">
        <v>1.94</v>
      </c>
      <c r="O568" s="5">
        <v>22.478999999999999</v>
      </c>
      <c r="P568" s="5">
        <v>7367296.2331199991</v>
      </c>
      <c r="Q568" s="5">
        <v>128146.84048</v>
      </c>
      <c r="R568" s="5">
        <v>74888.88248</v>
      </c>
      <c r="S568" s="5">
        <v>46.228000000000002</v>
      </c>
      <c r="T568" s="5">
        <f t="shared" si="52"/>
        <v>1</v>
      </c>
      <c r="U568" s="5">
        <f t="shared" si="53"/>
        <v>1</v>
      </c>
      <c r="V568" s="5">
        <f t="shared" si="54"/>
        <v>1</v>
      </c>
      <c r="W568" s="5">
        <v>53.847999999999999</v>
      </c>
      <c r="X568" s="5">
        <v>0.91200000000000003</v>
      </c>
    </row>
    <row r="569" spans="1:24" x14ac:dyDescent="0.25">
      <c r="A569" s="5" t="s">
        <v>893</v>
      </c>
      <c r="B569" s="5">
        <v>23.512990252000002</v>
      </c>
      <c r="C569" s="5">
        <v>2993.5423999999998</v>
      </c>
      <c r="D569" s="6">
        <v>76.199999999999989</v>
      </c>
      <c r="E569" s="6">
        <v>88.899999999999991</v>
      </c>
      <c r="F569" s="5">
        <v>9.5249999999999986</v>
      </c>
      <c r="G569" s="5">
        <f t="shared" si="49"/>
        <v>1</v>
      </c>
      <c r="H569" s="6" t="str">
        <f t="shared" si="50"/>
        <v>SLBB</v>
      </c>
      <c r="I569" s="5">
        <v>20.904199999999996</v>
      </c>
      <c r="J569" s="5">
        <f t="shared" si="51"/>
        <v>0</v>
      </c>
      <c r="K569" s="5">
        <v>0.33100000000000002</v>
      </c>
      <c r="L569" s="5">
        <v>1535893.9604639998</v>
      </c>
      <c r="M569" s="5">
        <v>3.04</v>
      </c>
      <c r="N569" s="5">
        <v>1.69</v>
      </c>
      <c r="O569" s="5">
        <v>22.6568</v>
      </c>
      <c r="P569" s="5">
        <v>4453676.2539199991</v>
      </c>
      <c r="Q569" s="5">
        <v>81279.837439999988</v>
      </c>
      <c r="R569" s="5">
        <v>50144.415839999994</v>
      </c>
      <c r="S569" s="5">
        <v>38.607999999999997</v>
      </c>
      <c r="T569" s="5">
        <f t="shared" si="52"/>
        <v>1</v>
      </c>
      <c r="U569" s="5">
        <f t="shared" si="53"/>
        <v>1</v>
      </c>
      <c r="V569" s="5">
        <f t="shared" si="54"/>
        <v>1</v>
      </c>
      <c r="W569" s="5">
        <v>47.751999999999995</v>
      </c>
      <c r="X569" s="5">
        <v>0.88500000000000001</v>
      </c>
    </row>
    <row r="570" spans="1:24" x14ac:dyDescent="0.25">
      <c r="A570" s="5" t="s">
        <v>894</v>
      </c>
      <c r="B570" s="5">
        <v>23.512990252000002</v>
      </c>
      <c r="C570" s="5">
        <v>2993.5423999999998</v>
      </c>
      <c r="D570" s="6">
        <v>76.199999999999989</v>
      </c>
      <c r="E570" s="6">
        <v>88.899999999999991</v>
      </c>
      <c r="F570" s="5">
        <v>9.5249999999999986</v>
      </c>
      <c r="G570" s="5">
        <f t="shared" si="49"/>
        <v>1</v>
      </c>
      <c r="H570" s="6" t="str">
        <f t="shared" si="50"/>
        <v>SLBB</v>
      </c>
      <c r="I570" s="5">
        <v>20.904199999999996</v>
      </c>
      <c r="J570" s="5">
        <f t="shared" si="51"/>
        <v>0</v>
      </c>
      <c r="K570" s="5">
        <v>0.33100000000000002</v>
      </c>
      <c r="L570" s="5">
        <v>1535893.9604639998</v>
      </c>
      <c r="M570" s="5">
        <v>3.04</v>
      </c>
      <c r="N570" s="5">
        <v>1.69</v>
      </c>
      <c r="O570" s="5">
        <v>22.6568</v>
      </c>
      <c r="P570" s="5">
        <v>5327762.24768</v>
      </c>
      <c r="Q570" s="5">
        <v>95536.583119999996</v>
      </c>
      <c r="R570" s="5">
        <v>56863.112079999999</v>
      </c>
      <c r="S570" s="5">
        <v>42.163999999999994</v>
      </c>
      <c r="T570" s="5">
        <f t="shared" si="52"/>
        <v>1</v>
      </c>
      <c r="U570" s="5">
        <f t="shared" si="53"/>
        <v>1</v>
      </c>
      <c r="V570" s="5">
        <f t="shared" si="54"/>
        <v>1</v>
      </c>
      <c r="W570" s="5">
        <v>50.545999999999999</v>
      </c>
      <c r="X570" s="5">
        <v>0.89800000000000002</v>
      </c>
    </row>
    <row r="571" spans="1:24" x14ac:dyDescent="0.25">
      <c r="A571" s="5" t="s">
        <v>895</v>
      </c>
      <c r="B571" s="5">
        <v>23.512990252000002</v>
      </c>
      <c r="C571" s="5">
        <v>2993.5423999999998</v>
      </c>
      <c r="D571" s="6">
        <v>76.199999999999989</v>
      </c>
      <c r="E571" s="6">
        <v>88.899999999999991</v>
      </c>
      <c r="F571" s="5">
        <v>9.5249999999999986</v>
      </c>
      <c r="G571" s="5">
        <f t="shared" si="49"/>
        <v>1</v>
      </c>
      <c r="H571" s="6" t="str">
        <f t="shared" si="50"/>
        <v>SLBB</v>
      </c>
      <c r="I571" s="5">
        <v>20.904199999999996</v>
      </c>
      <c r="J571" s="5">
        <f t="shared" si="51"/>
        <v>0</v>
      </c>
      <c r="K571" s="5">
        <v>0.33100000000000002</v>
      </c>
      <c r="L571" s="5">
        <v>1535893.9604639998</v>
      </c>
      <c r="M571" s="5">
        <v>3.04</v>
      </c>
      <c r="N571" s="5">
        <v>1.69</v>
      </c>
      <c r="O571" s="5">
        <v>22.6568</v>
      </c>
      <c r="P571" s="5">
        <v>6326717.6691199988</v>
      </c>
      <c r="Q571" s="5">
        <v>109793.32879999999</v>
      </c>
      <c r="R571" s="5">
        <v>64237.290879999993</v>
      </c>
      <c r="S571" s="5">
        <v>45.973999999999997</v>
      </c>
      <c r="T571" s="5">
        <f t="shared" si="52"/>
        <v>1</v>
      </c>
      <c r="U571" s="5">
        <f t="shared" si="53"/>
        <v>1</v>
      </c>
      <c r="V571" s="5">
        <f t="shared" si="54"/>
        <v>1</v>
      </c>
      <c r="W571" s="5">
        <v>53.593999999999994</v>
      </c>
      <c r="X571" s="5">
        <v>0.91</v>
      </c>
    </row>
    <row r="572" spans="1:24" x14ac:dyDescent="0.25">
      <c r="A572" s="5" t="s">
        <v>896</v>
      </c>
      <c r="B572" s="5">
        <v>19.643764007999998</v>
      </c>
      <c r="C572" s="5">
        <v>2516.1239999999998</v>
      </c>
      <c r="D572" s="6">
        <v>76.199999999999989</v>
      </c>
      <c r="E572" s="6">
        <v>88.899999999999991</v>
      </c>
      <c r="F572" s="5">
        <v>7.9501999999999997</v>
      </c>
      <c r="G572" s="5">
        <f t="shared" si="49"/>
        <v>1</v>
      </c>
      <c r="H572" s="6" t="str">
        <f t="shared" si="50"/>
        <v>SLBB</v>
      </c>
      <c r="I572" s="5">
        <v>20.269200000000001</v>
      </c>
      <c r="J572" s="5">
        <f t="shared" si="51"/>
        <v>0</v>
      </c>
      <c r="K572" s="5">
        <v>0.27900000000000003</v>
      </c>
      <c r="L572" s="5">
        <v>1315291.3048959998</v>
      </c>
      <c r="M572" s="5">
        <v>2.56</v>
      </c>
      <c r="N572" s="5">
        <v>1.44</v>
      </c>
      <c r="O572" s="5">
        <v>22.86</v>
      </c>
      <c r="P572" s="5">
        <v>3700297.3735839999</v>
      </c>
      <c r="Q572" s="5">
        <v>67186.962399999989</v>
      </c>
      <c r="R572" s="5">
        <v>41623.14256</v>
      </c>
      <c r="S572" s="5">
        <v>38.353999999999999</v>
      </c>
      <c r="T572" s="5">
        <f t="shared" si="52"/>
        <v>1</v>
      </c>
      <c r="U572" s="5">
        <f t="shared" si="53"/>
        <v>1</v>
      </c>
      <c r="V572" s="5">
        <f t="shared" si="54"/>
        <v>1</v>
      </c>
      <c r="W572" s="5">
        <v>47.497999999999998</v>
      </c>
      <c r="X572" s="5">
        <v>0.88300000000000001</v>
      </c>
    </row>
    <row r="573" spans="1:24" x14ac:dyDescent="0.25">
      <c r="A573" s="5" t="s">
        <v>897</v>
      </c>
      <c r="B573" s="5">
        <v>19.643764007999998</v>
      </c>
      <c r="C573" s="5">
        <v>2516.1239999999998</v>
      </c>
      <c r="D573" s="6">
        <v>76.199999999999989</v>
      </c>
      <c r="E573" s="6">
        <v>88.899999999999991</v>
      </c>
      <c r="F573" s="5">
        <v>7.9501999999999997</v>
      </c>
      <c r="G573" s="5">
        <f t="shared" si="49"/>
        <v>1</v>
      </c>
      <c r="H573" s="6" t="str">
        <f t="shared" si="50"/>
        <v>SLBB</v>
      </c>
      <c r="I573" s="5">
        <v>20.269200000000001</v>
      </c>
      <c r="J573" s="5">
        <f t="shared" si="51"/>
        <v>0</v>
      </c>
      <c r="K573" s="5">
        <v>0.27900000000000003</v>
      </c>
      <c r="L573" s="5">
        <v>1315291.3048959998</v>
      </c>
      <c r="M573" s="5">
        <v>2.56</v>
      </c>
      <c r="N573" s="5">
        <v>1.44</v>
      </c>
      <c r="O573" s="5">
        <v>22.86</v>
      </c>
      <c r="P573" s="5">
        <v>4412053.1113599995</v>
      </c>
      <c r="Q573" s="5">
        <v>79149.519119999997</v>
      </c>
      <c r="R573" s="5">
        <v>47030.873679999997</v>
      </c>
      <c r="S573" s="5">
        <v>41.91</v>
      </c>
      <c r="T573" s="5">
        <f t="shared" si="52"/>
        <v>1</v>
      </c>
      <c r="U573" s="5">
        <f t="shared" si="53"/>
        <v>1</v>
      </c>
      <c r="V573" s="5">
        <f t="shared" si="54"/>
        <v>1</v>
      </c>
      <c r="W573" s="5">
        <v>50.291999999999994</v>
      </c>
      <c r="X573" s="5">
        <v>0.89500000000000002</v>
      </c>
    </row>
    <row r="574" spans="1:24" x14ac:dyDescent="0.25">
      <c r="A574" s="5" t="s">
        <v>898</v>
      </c>
      <c r="B574" s="5">
        <v>19.643764007999998</v>
      </c>
      <c r="C574" s="5">
        <v>2516.1239999999998</v>
      </c>
      <c r="D574" s="6">
        <v>76.199999999999989</v>
      </c>
      <c r="E574" s="6">
        <v>88.899999999999991</v>
      </c>
      <c r="F574" s="5">
        <v>7.9501999999999997</v>
      </c>
      <c r="G574" s="5">
        <f t="shared" si="49"/>
        <v>1</v>
      </c>
      <c r="H574" s="6" t="str">
        <f t="shared" si="50"/>
        <v>SLBB</v>
      </c>
      <c r="I574" s="5">
        <v>20.269200000000001</v>
      </c>
      <c r="J574" s="5">
        <f t="shared" si="51"/>
        <v>0</v>
      </c>
      <c r="K574" s="5">
        <v>0.27900000000000003</v>
      </c>
      <c r="L574" s="5">
        <v>1315291.3048959998</v>
      </c>
      <c r="M574" s="5">
        <v>2.56</v>
      </c>
      <c r="N574" s="5">
        <v>1.44</v>
      </c>
      <c r="O574" s="5">
        <v>22.86</v>
      </c>
      <c r="P574" s="5">
        <v>5202892.8199999994</v>
      </c>
      <c r="Q574" s="5">
        <v>91112.07583999999</v>
      </c>
      <c r="R574" s="5">
        <v>52930.216719999997</v>
      </c>
      <c r="S574" s="5">
        <v>45.466000000000001</v>
      </c>
      <c r="T574" s="5">
        <f t="shared" si="52"/>
        <v>1</v>
      </c>
      <c r="U574" s="5">
        <f t="shared" si="53"/>
        <v>1</v>
      </c>
      <c r="V574" s="5">
        <f t="shared" si="54"/>
        <v>1</v>
      </c>
      <c r="W574" s="5">
        <v>53.593999999999994</v>
      </c>
      <c r="X574" s="5">
        <v>0.90700000000000003</v>
      </c>
    </row>
    <row r="575" spans="1:24" x14ac:dyDescent="0.25">
      <c r="A575" s="5" t="s">
        <v>899</v>
      </c>
      <c r="B575" s="5">
        <v>16.072170551999999</v>
      </c>
      <c r="C575" s="5">
        <v>2038.7056</v>
      </c>
      <c r="D575" s="6">
        <v>76.199999999999989</v>
      </c>
      <c r="E575" s="6">
        <v>88.899999999999991</v>
      </c>
      <c r="F575" s="5">
        <v>6.35</v>
      </c>
      <c r="G575" s="5">
        <f t="shared" si="49"/>
        <v>1</v>
      </c>
      <c r="H575" s="6" t="str">
        <f t="shared" si="50"/>
        <v>SLBB</v>
      </c>
      <c r="I575" s="5">
        <v>19.6342</v>
      </c>
      <c r="J575" s="5">
        <f t="shared" si="51"/>
        <v>0</v>
      </c>
      <c r="K575" s="5">
        <v>0.22600000000000001</v>
      </c>
      <c r="L575" s="5">
        <v>1086364.0208159999</v>
      </c>
      <c r="M575" s="5">
        <v>2.08</v>
      </c>
      <c r="N575" s="5">
        <v>1.17</v>
      </c>
      <c r="O575" s="5">
        <v>23.063199999999998</v>
      </c>
      <c r="P575" s="5">
        <v>2959405.4360159999</v>
      </c>
      <c r="Q575" s="5">
        <v>52766.346079999996</v>
      </c>
      <c r="R575" s="5">
        <v>33265.739919999993</v>
      </c>
      <c r="S575" s="5">
        <v>38.099999999999994</v>
      </c>
      <c r="T575" s="5">
        <f t="shared" si="52"/>
        <v>1</v>
      </c>
      <c r="U575" s="5">
        <f t="shared" si="53"/>
        <v>1</v>
      </c>
      <c r="V575" s="5">
        <f t="shared" si="54"/>
        <v>1</v>
      </c>
      <c r="W575" s="5">
        <v>47.497999999999998</v>
      </c>
      <c r="X575" s="5">
        <v>0.88</v>
      </c>
    </row>
    <row r="576" spans="1:24" x14ac:dyDescent="0.25">
      <c r="A576" s="5" t="s">
        <v>900</v>
      </c>
      <c r="B576" s="5">
        <v>16.072170551999999</v>
      </c>
      <c r="C576" s="5">
        <v>2038.7056</v>
      </c>
      <c r="D576" s="6">
        <v>76.199999999999989</v>
      </c>
      <c r="E576" s="6">
        <v>88.899999999999991</v>
      </c>
      <c r="F576" s="5">
        <v>6.35</v>
      </c>
      <c r="G576" s="5">
        <f t="shared" si="49"/>
        <v>1</v>
      </c>
      <c r="H576" s="6" t="str">
        <f t="shared" si="50"/>
        <v>SLBB</v>
      </c>
      <c r="I576" s="5">
        <v>19.6342</v>
      </c>
      <c r="J576" s="5">
        <f t="shared" si="51"/>
        <v>0</v>
      </c>
      <c r="K576" s="5">
        <v>0.22600000000000001</v>
      </c>
      <c r="L576" s="5">
        <v>1086364.0208159999</v>
      </c>
      <c r="M576" s="5">
        <v>2.08</v>
      </c>
      <c r="N576" s="5">
        <v>1.17</v>
      </c>
      <c r="O576" s="5">
        <v>23.063199999999998</v>
      </c>
      <c r="P576" s="5">
        <v>3496343.9750399999</v>
      </c>
      <c r="Q576" s="5">
        <v>62598.58447999999</v>
      </c>
      <c r="R576" s="5">
        <v>37362.505919999996</v>
      </c>
      <c r="S576" s="5">
        <v>41.401999999999994</v>
      </c>
      <c r="T576" s="5">
        <f t="shared" si="52"/>
        <v>1</v>
      </c>
      <c r="U576" s="5">
        <f t="shared" si="53"/>
        <v>1</v>
      </c>
      <c r="V576" s="5">
        <f t="shared" si="54"/>
        <v>1</v>
      </c>
      <c r="W576" s="5">
        <v>50.291999999999994</v>
      </c>
      <c r="X576" s="5">
        <v>0.89300000000000002</v>
      </c>
    </row>
    <row r="577" spans="1:24" x14ac:dyDescent="0.25">
      <c r="A577" s="5" t="s">
        <v>901</v>
      </c>
      <c r="B577" s="5">
        <v>16.072170551999999</v>
      </c>
      <c r="C577" s="5">
        <v>2038.7056</v>
      </c>
      <c r="D577" s="6">
        <v>76.199999999999989</v>
      </c>
      <c r="E577" s="6">
        <v>88.899999999999991</v>
      </c>
      <c r="F577" s="5">
        <v>6.35</v>
      </c>
      <c r="G577" s="5">
        <f t="shared" si="49"/>
        <v>1</v>
      </c>
      <c r="H577" s="6" t="str">
        <f t="shared" si="50"/>
        <v>SLBB</v>
      </c>
      <c r="I577" s="5">
        <v>19.6342</v>
      </c>
      <c r="J577" s="5">
        <f t="shared" si="51"/>
        <v>0</v>
      </c>
      <c r="K577" s="5">
        <v>0.22600000000000001</v>
      </c>
      <c r="L577" s="5">
        <v>1086364.0208159999</v>
      </c>
      <c r="M577" s="5">
        <v>2.08</v>
      </c>
      <c r="N577" s="5">
        <v>1.17</v>
      </c>
      <c r="O577" s="5">
        <v>23.063199999999998</v>
      </c>
      <c r="P577" s="5">
        <v>4162314.2559999996</v>
      </c>
      <c r="Q577" s="5">
        <v>72266.952239999999</v>
      </c>
      <c r="R577" s="5">
        <v>42278.625119999997</v>
      </c>
      <c r="S577" s="5">
        <v>45.211999999999996</v>
      </c>
      <c r="T577" s="5">
        <f t="shared" si="52"/>
        <v>1</v>
      </c>
      <c r="U577" s="5">
        <f t="shared" si="53"/>
        <v>1</v>
      </c>
      <c r="V577" s="5">
        <f t="shared" si="54"/>
        <v>1</v>
      </c>
      <c r="W577" s="5">
        <v>53.339999999999996</v>
      </c>
      <c r="X577" s="5">
        <v>0.90500000000000003</v>
      </c>
    </row>
    <row r="578" spans="1:24" x14ac:dyDescent="0.25">
      <c r="A578" s="5" t="s">
        <v>902</v>
      </c>
      <c r="B578" s="5">
        <v>27.977482072000001</v>
      </c>
      <c r="C578" s="5">
        <v>3574.1864</v>
      </c>
      <c r="D578" s="6">
        <v>63.5</v>
      </c>
      <c r="E578" s="6">
        <v>88.899999999999991</v>
      </c>
      <c r="F578" s="5">
        <v>12.7</v>
      </c>
      <c r="G578" s="5">
        <f t="shared" si="49"/>
        <v>1</v>
      </c>
      <c r="H578" s="6" t="str">
        <f t="shared" si="50"/>
        <v>SLBB</v>
      </c>
      <c r="I578" s="5">
        <v>17.805399999999999</v>
      </c>
      <c r="J578" s="5">
        <f t="shared" si="51"/>
        <v>0</v>
      </c>
      <c r="K578" s="5">
        <v>0.39600000000000002</v>
      </c>
      <c r="L578" s="5">
        <v>1132149.4776319999</v>
      </c>
      <c r="M578" s="5">
        <v>2.78</v>
      </c>
      <c r="N578" s="5">
        <v>1.51</v>
      </c>
      <c r="O578" s="5">
        <v>17.805399999999999</v>
      </c>
      <c r="P578" s="5">
        <v>6035355.6711999997</v>
      </c>
      <c r="Q578" s="5">
        <v>108973.97559999999</v>
      </c>
      <c r="R578" s="5">
        <v>67842.444959999993</v>
      </c>
      <c r="S578" s="5">
        <v>41.148000000000003</v>
      </c>
      <c r="T578" s="5">
        <f t="shared" si="52"/>
        <v>1</v>
      </c>
      <c r="U578" s="5">
        <f t="shared" si="53"/>
        <v>1</v>
      </c>
      <c r="V578" s="5">
        <f t="shared" si="54"/>
        <v>1</v>
      </c>
      <c r="W578" s="5">
        <v>46.228000000000002</v>
      </c>
      <c r="X578" s="5">
        <v>0.93799999999999994</v>
      </c>
    </row>
    <row r="579" spans="1:24" x14ac:dyDescent="0.25">
      <c r="A579" s="5" t="s">
        <v>903</v>
      </c>
      <c r="B579" s="5">
        <v>27.977482072000001</v>
      </c>
      <c r="C579" s="5">
        <v>3574.1864</v>
      </c>
      <c r="D579" s="6">
        <v>63.5</v>
      </c>
      <c r="E579" s="6">
        <v>88.899999999999991</v>
      </c>
      <c r="F579" s="5">
        <v>12.7</v>
      </c>
      <c r="G579" s="5">
        <f t="shared" si="49"/>
        <v>1</v>
      </c>
      <c r="H579" s="6" t="str">
        <f t="shared" si="50"/>
        <v>SLBB</v>
      </c>
      <c r="I579" s="5">
        <v>17.805399999999999</v>
      </c>
      <c r="J579" s="5">
        <f t="shared" si="51"/>
        <v>0</v>
      </c>
      <c r="K579" s="5">
        <v>0.39600000000000002</v>
      </c>
      <c r="L579" s="5">
        <v>1132149.4776319999</v>
      </c>
      <c r="M579" s="5">
        <v>2.78</v>
      </c>
      <c r="N579" s="5">
        <v>1.51</v>
      </c>
      <c r="O579" s="5">
        <v>17.805399999999999</v>
      </c>
      <c r="P579" s="5">
        <v>7159180.5203199992</v>
      </c>
      <c r="Q579" s="5">
        <v>126016.52215999999</v>
      </c>
      <c r="R579" s="5">
        <v>76363.718240000002</v>
      </c>
      <c r="S579" s="5">
        <v>44.704000000000001</v>
      </c>
      <c r="T579" s="5">
        <f t="shared" si="52"/>
        <v>1</v>
      </c>
      <c r="U579" s="5">
        <f t="shared" si="53"/>
        <v>1</v>
      </c>
      <c r="V579" s="5">
        <f t="shared" si="54"/>
        <v>1</v>
      </c>
      <c r="W579" s="5">
        <v>49.529999999999994</v>
      </c>
      <c r="X579" s="5">
        <v>0.94599999999999995</v>
      </c>
    </row>
    <row r="580" spans="1:24" x14ac:dyDescent="0.25">
      <c r="A580" s="5" t="s">
        <v>904</v>
      </c>
      <c r="B580" s="5">
        <v>27.977482072000001</v>
      </c>
      <c r="C580" s="5">
        <v>3574.1864</v>
      </c>
      <c r="D580" s="6">
        <v>63.5</v>
      </c>
      <c r="E580" s="6">
        <v>88.899999999999991</v>
      </c>
      <c r="F580" s="5">
        <v>12.7</v>
      </c>
      <c r="G580" s="5">
        <f t="shared" ref="G580:G640" si="55">G579</f>
        <v>1</v>
      </c>
      <c r="H580" s="6" t="str">
        <f t="shared" ref="H580:H640" si="56">H579</f>
        <v>SLBB</v>
      </c>
      <c r="I580" s="5">
        <v>17.805399999999999</v>
      </c>
      <c r="J580" s="5">
        <f t="shared" ref="J580:J640" si="57">J579</f>
        <v>0</v>
      </c>
      <c r="K580" s="5">
        <v>0.39600000000000002</v>
      </c>
      <c r="L580" s="5">
        <v>1132149.4776319999</v>
      </c>
      <c r="M580" s="5">
        <v>2.78</v>
      </c>
      <c r="N580" s="5">
        <v>1.51</v>
      </c>
      <c r="O580" s="5">
        <v>17.805399999999999</v>
      </c>
      <c r="P580" s="5">
        <v>8407874.7971199993</v>
      </c>
      <c r="Q580" s="5">
        <v>143059.06871999998</v>
      </c>
      <c r="R580" s="5">
        <v>85376.603439999992</v>
      </c>
      <c r="S580" s="5">
        <v>48.513999999999996</v>
      </c>
      <c r="T580" s="5">
        <f t="shared" ref="T580:T640" si="58">T579</f>
        <v>1</v>
      </c>
      <c r="U580" s="5">
        <f t="shared" ref="U580:U640" si="59">U579</f>
        <v>1</v>
      </c>
      <c r="V580" s="5">
        <f t="shared" ref="V580:V640" si="60">V579</f>
        <v>1</v>
      </c>
      <c r="W580" s="5">
        <v>52.832000000000001</v>
      </c>
      <c r="X580" s="5">
        <v>0.95299999999999996</v>
      </c>
    </row>
    <row r="581" spans="1:24" x14ac:dyDescent="0.25">
      <c r="A581" s="5" t="s">
        <v>905</v>
      </c>
      <c r="B581" s="5">
        <v>21.429560735999999</v>
      </c>
      <c r="C581" s="5">
        <v>2735.4784</v>
      </c>
      <c r="D581" s="6">
        <v>63.5</v>
      </c>
      <c r="E581" s="6">
        <v>88.899999999999991</v>
      </c>
      <c r="F581" s="5">
        <v>9.5249999999999986</v>
      </c>
      <c r="G581" s="5">
        <f t="shared" si="55"/>
        <v>1</v>
      </c>
      <c r="H581" s="6" t="str">
        <f t="shared" si="56"/>
        <v>SLBB</v>
      </c>
      <c r="I581" s="5">
        <v>16.637</v>
      </c>
      <c r="J581" s="5">
        <f t="shared" si="57"/>
        <v>0</v>
      </c>
      <c r="K581" s="5">
        <v>0.30299999999999999</v>
      </c>
      <c r="L581" s="5">
        <v>903222.19355199987</v>
      </c>
      <c r="M581" s="5">
        <v>2.13</v>
      </c>
      <c r="N581" s="5">
        <v>1.18</v>
      </c>
      <c r="O581" s="5">
        <v>18.186399999999999</v>
      </c>
      <c r="P581" s="5">
        <v>4453676.2539199991</v>
      </c>
      <c r="Q581" s="5">
        <v>79968.872319999995</v>
      </c>
      <c r="R581" s="5">
        <v>50144.415839999994</v>
      </c>
      <c r="S581" s="5">
        <v>40.386000000000003</v>
      </c>
      <c r="T581" s="5">
        <f t="shared" si="58"/>
        <v>1</v>
      </c>
      <c r="U581" s="5">
        <f t="shared" si="59"/>
        <v>1</v>
      </c>
      <c r="V581" s="5">
        <f t="shared" si="60"/>
        <v>1</v>
      </c>
      <c r="W581" s="5">
        <v>45.973999999999997</v>
      </c>
      <c r="X581" s="5">
        <v>0.93300000000000005</v>
      </c>
    </row>
    <row r="582" spans="1:24" x14ac:dyDescent="0.25">
      <c r="A582" s="5" t="s">
        <v>906</v>
      </c>
      <c r="B582" s="5">
        <v>21.429560735999999</v>
      </c>
      <c r="C582" s="5">
        <v>2735.4784</v>
      </c>
      <c r="D582" s="6">
        <v>63.5</v>
      </c>
      <c r="E582" s="6">
        <v>88.899999999999991</v>
      </c>
      <c r="F582" s="5">
        <v>9.5249999999999986</v>
      </c>
      <c r="G582" s="5">
        <f t="shared" si="55"/>
        <v>1</v>
      </c>
      <c r="H582" s="6" t="str">
        <f t="shared" si="56"/>
        <v>SLBB</v>
      </c>
      <c r="I582" s="5">
        <v>16.637</v>
      </c>
      <c r="J582" s="5">
        <f t="shared" si="57"/>
        <v>0</v>
      </c>
      <c r="K582" s="5">
        <v>0.30299999999999999</v>
      </c>
      <c r="L582" s="5">
        <v>903222.19355199987</v>
      </c>
      <c r="M582" s="5">
        <v>2.13</v>
      </c>
      <c r="N582" s="5">
        <v>1.18</v>
      </c>
      <c r="O582" s="5">
        <v>18.186399999999999</v>
      </c>
      <c r="P582" s="5">
        <v>5286139.1051199995</v>
      </c>
      <c r="Q582" s="5">
        <v>92914.652879999994</v>
      </c>
      <c r="R582" s="5">
        <v>56371.500159999996</v>
      </c>
      <c r="S582" s="5">
        <v>43.942</v>
      </c>
      <c r="T582" s="5">
        <f t="shared" si="58"/>
        <v>1</v>
      </c>
      <c r="U582" s="5">
        <f t="shared" si="59"/>
        <v>1</v>
      </c>
      <c r="V582" s="5">
        <f t="shared" si="60"/>
        <v>1</v>
      </c>
      <c r="W582" s="5">
        <v>49.021999999999998</v>
      </c>
      <c r="X582" s="5">
        <v>0.94099999999999995</v>
      </c>
    </row>
    <row r="583" spans="1:24" x14ac:dyDescent="0.25">
      <c r="A583" s="5" t="s">
        <v>907</v>
      </c>
      <c r="B583" s="5">
        <v>21.429560735999999</v>
      </c>
      <c r="C583" s="5">
        <v>2735.4784</v>
      </c>
      <c r="D583" s="6">
        <v>63.5</v>
      </c>
      <c r="E583" s="6">
        <v>88.899999999999991</v>
      </c>
      <c r="F583" s="5">
        <v>9.5249999999999986</v>
      </c>
      <c r="G583" s="5">
        <f t="shared" si="55"/>
        <v>1</v>
      </c>
      <c r="H583" s="6" t="str">
        <f t="shared" si="56"/>
        <v>SLBB</v>
      </c>
      <c r="I583" s="5">
        <v>16.637</v>
      </c>
      <c r="J583" s="5">
        <f t="shared" si="57"/>
        <v>0</v>
      </c>
      <c r="K583" s="5">
        <v>0.30299999999999999</v>
      </c>
      <c r="L583" s="5">
        <v>903222.19355199987</v>
      </c>
      <c r="M583" s="5">
        <v>2.13</v>
      </c>
      <c r="N583" s="5">
        <v>1.18</v>
      </c>
      <c r="O583" s="5">
        <v>18.186399999999999</v>
      </c>
      <c r="P583" s="5">
        <v>6243471.3839999996</v>
      </c>
      <c r="Q583" s="5">
        <v>106024.30407999999</v>
      </c>
      <c r="R583" s="5">
        <v>63417.937679999995</v>
      </c>
      <c r="S583" s="5">
        <v>47.751999999999995</v>
      </c>
      <c r="T583" s="5">
        <f t="shared" si="58"/>
        <v>1</v>
      </c>
      <c r="U583" s="5">
        <f t="shared" si="59"/>
        <v>1</v>
      </c>
      <c r="V583" s="5">
        <f t="shared" si="60"/>
        <v>1</v>
      </c>
      <c r="W583" s="5">
        <v>52.577999999999996</v>
      </c>
      <c r="X583" s="5">
        <v>0.94899999999999995</v>
      </c>
    </row>
    <row r="584" spans="1:24" x14ac:dyDescent="0.25">
      <c r="A584" s="5" t="s">
        <v>908</v>
      </c>
      <c r="B584" s="5">
        <v>18.155600067999998</v>
      </c>
      <c r="C584" s="5">
        <v>2309.6727999999998</v>
      </c>
      <c r="D584" s="6">
        <v>63.5</v>
      </c>
      <c r="E584" s="6">
        <v>88.899999999999991</v>
      </c>
      <c r="F584" s="5">
        <v>7.9501999999999997</v>
      </c>
      <c r="G584" s="5">
        <f t="shared" si="55"/>
        <v>1</v>
      </c>
      <c r="H584" s="6" t="str">
        <f t="shared" si="56"/>
        <v>SLBB</v>
      </c>
      <c r="I584" s="5">
        <v>16.052799999999998</v>
      </c>
      <c r="J584" s="5">
        <f t="shared" si="57"/>
        <v>0</v>
      </c>
      <c r="K584" s="5">
        <v>0.25600000000000001</v>
      </c>
      <c r="L584" s="5">
        <v>778352.76587200002</v>
      </c>
      <c r="M584" s="5">
        <v>1.8</v>
      </c>
      <c r="N584" s="5">
        <v>1</v>
      </c>
      <c r="O584" s="5">
        <v>18.364199999999997</v>
      </c>
      <c r="P584" s="5">
        <v>3721108.9448639993</v>
      </c>
      <c r="Q584" s="5">
        <v>66367.609199999992</v>
      </c>
      <c r="R584" s="5">
        <v>41787.013199999994</v>
      </c>
      <c r="S584" s="5">
        <v>40.131999999999998</v>
      </c>
      <c r="T584" s="5">
        <f t="shared" si="58"/>
        <v>1</v>
      </c>
      <c r="U584" s="5">
        <f t="shared" si="59"/>
        <v>1</v>
      </c>
      <c r="V584" s="5">
        <f t="shared" si="60"/>
        <v>1</v>
      </c>
      <c r="W584" s="5">
        <v>45.72</v>
      </c>
      <c r="X584" s="5">
        <v>0.93</v>
      </c>
    </row>
    <row r="585" spans="1:24" x14ac:dyDescent="0.25">
      <c r="A585" s="5" t="s">
        <v>909</v>
      </c>
      <c r="B585" s="5">
        <v>18.155600067999998</v>
      </c>
      <c r="C585" s="5">
        <v>2309.6727999999998</v>
      </c>
      <c r="D585" s="6">
        <v>63.5</v>
      </c>
      <c r="E585" s="6">
        <v>88.899999999999991</v>
      </c>
      <c r="F585" s="5">
        <v>7.9501999999999997</v>
      </c>
      <c r="G585" s="5">
        <f t="shared" si="55"/>
        <v>1</v>
      </c>
      <c r="H585" s="6" t="str">
        <f t="shared" si="56"/>
        <v>SLBB</v>
      </c>
      <c r="I585" s="5">
        <v>16.052799999999998</v>
      </c>
      <c r="J585" s="5">
        <f t="shared" si="57"/>
        <v>0</v>
      </c>
      <c r="K585" s="5">
        <v>0.25600000000000001</v>
      </c>
      <c r="L585" s="5">
        <v>778352.76587200002</v>
      </c>
      <c r="M585" s="5">
        <v>1.8</v>
      </c>
      <c r="N585" s="5">
        <v>1</v>
      </c>
      <c r="O585" s="5">
        <v>18.364199999999997</v>
      </c>
      <c r="P585" s="5">
        <v>4412053.1113599995</v>
      </c>
      <c r="Q585" s="5">
        <v>77346.942079999993</v>
      </c>
      <c r="R585" s="5">
        <v>47030.873679999997</v>
      </c>
      <c r="S585" s="5">
        <v>43.687999999999995</v>
      </c>
      <c r="T585" s="5">
        <f t="shared" si="58"/>
        <v>1</v>
      </c>
      <c r="U585" s="5">
        <f t="shared" si="59"/>
        <v>1</v>
      </c>
      <c r="V585" s="5">
        <f t="shared" si="60"/>
        <v>1</v>
      </c>
      <c r="W585" s="5">
        <v>48.767999999999994</v>
      </c>
      <c r="X585" s="5">
        <v>0.93899999999999995</v>
      </c>
    </row>
    <row r="586" spans="1:24" x14ac:dyDescent="0.25">
      <c r="A586" s="5" t="s">
        <v>910</v>
      </c>
      <c r="B586" s="5">
        <v>18.155600067999998</v>
      </c>
      <c r="C586" s="5">
        <v>2309.6727999999998</v>
      </c>
      <c r="D586" s="6">
        <v>63.5</v>
      </c>
      <c r="E586" s="6">
        <v>88.899999999999991</v>
      </c>
      <c r="F586" s="5">
        <v>7.9501999999999997</v>
      </c>
      <c r="G586" s="5">
        <f t="shared" si="55"/>
        <v>1</v>
      </c>
      <c r="H586" s="6" t="str">
        <f t="shared" si="56"/>
        <v>SLBB</v>
      </c>
      <c r="I586" s="5">
        <v>16.052799999999998</v>
      </c>
      <c r="J586" s="5">
        <f t="shared" si="57"/>
        <v>0</v>
      </c>
      <c r="K586" s="5">
        <v>0.25600000000000001</v>
      </c>
      <c r="L586" s="5">
        <v>778352.76587200002</v>
      </c>
      <c r="M586" s="5">
        <v>1.8</v>
      </c>
      <c r="N586" s="5">
        <v>1</v>
      </c>
      <c r="O586" s="5">
        <v>18.364199999999997</v>
      </c>
      <c r="P586" s="5">
        <v>5202892.8199999994</v>
      </c>
      <c r="Q586" s="5">
        <v>88326.274959999981</v>
      </c>
      <c r="R586" s="5">
        <v>52930.216719999997</v>
      </c>
      <c r="S586" s="5">
        <v>47.497999999999998</v>
      </c>
      <c r="T586" s="5">
        <f t="shared" si="58"/>
        <v>1</v>
      </c>
      <c r="U586" s="5">
        <f t="shared" si="59"/>
        <v>1</v>
      </c>
      <c r="V586" s="5">
        <f t="shared" si="60"/>
        <v>1</v>
      </c>
      <c r="W586" s="5">
        <v>52.323999999999998</v>
      </c>
      <c r="X586" s="5">
        <v>0.94699999999999995</v>
      </c>
    </row>
    <row r="587" spans="1:24" x14ac:dyDescent="0.25">
      <c r="A587" s="5" t="s">
        <v>911</v>
      </c>
      <c r="B587" s="5">
        <v>14.584006612000001</v>
      </c>
      <c r="C587" s="5">
        <v>1870.9639999999999</v>
      </c>
      <c r="D587" s="6">
        <v>63.5</v>
      </c>
      <c r="E587" s="6">
        <v>88.899999999999991</v>
      </c>
      <c r="F587" s="5">
        <v>6.35</v>
      </c>
      <c r="G587" s="5">
        <f t="shared" si="55"/>
        <v>1</v>
      </c>
      <c r="H587" s="6" t="str">
        <f t="shared" si="56"/>
        <v>SLBB</v>
      </c>
      <c r="I587" s="5">
        <v>15.417799999999998</v>
      </c>
      <c r="J587" s="5">
        <f t="shared" si="57"/>
        <v>0</v>
      </c>
      <c r="K587" s="5">
        <v>0.20699999999999999</v>
      </c>
      <c r="L587" s="5">
        <v>645158.70967999997</v>
      </c>
      <c r="M587" s="5">
        <v>1.46</v>
      </c>
      <c r="N587" s="5">
        <v>0.81899999999999995</v>
      </c>
      <c r="O587" s="5">
        <v>18.567399999999999</v>
      </c>
      <c r="P587" s="5">
        <v>2976054.6930399998</v>
      </c>
      <c r="Q587" s="5">
        <v>52274.734159999993</v>
      </c>
      <c r="R587" s="5">
        <v>33429.610560000001</v>
      </c>
      <c r="S587" s="5">
        <v>39.878</v>
      </c>
      <c r="T587" s="5">
        <f t="shared" si="58"/>
        <v>1</v>
      </c>
      <c r="U587" s="5">
        <f t="shared" si="59"/>
        <v>1</v>
      </c>
      <c r="V587" s="5">
        <f t="shared" si="60"/>
        <v>1</v>
      </c>
      <c r="W587" s="5">
        <v>45.72</v>
      </c>
      <c r="X587" s="5">
        <v>0.92800000000000005</v>
      </c>
    </row>
    <row r="588" spans="1:24" x14ac:dyDescent="0.25">
      <c r="A588" s="5" t="s">
        <v>912</v>
      </c>
      <c r="B588" s="5">
        <v>14.584006612000001</v>
      </c>
      <c r="C588" s="5">
        <v>1870.9639999999999</v>
      </c>
      <c r="D588" s="6">
        <v>63.5</v>
      </c>
      <c r="E588" s="6">
        <v>88.899999999999991</v>
      </c>
      <c r="F588" s="5">
        <v>6.35</v>
      </c>
      <c r="G588" s="5">
        <f t="shared" si="55"/>
        <v>1</v>
      </c>
      <c r="H588" s="6" t="str">
        <f t="shared" si="56"/>
        <v>SLBB</v>
      </c>
      <c r="I588" s="5">
        <v>15.417799999999998</v>
      </c>
      <c r="J588" s="5">
        <f t="shared" si="57"/>
        <v>0</v>
      </c>
      <c r="K588" s="5">
        <v>0.20699999999999999</v>
      </c>
      <c r="L588" s="5">
        <v>645158.70967999997</v>
      </c>
      <c r="M588" s="5">
        <v>1.46</v>
      </c>
      <c r="N588" s="5">
        <v>0.81899999999999995</v>
      </c>
      <c r="O588" s="5">
        <v>18.567399999999999</v>
      </c>
      <c r="P588" s="5">
        <v>3488019.3465280002</v>
      </c>
      <c r="Q588" s="5">
        <v>61123.748719999996</v>
      </c>
      <c r="R588" s="5">
        <v>37198.635279999995</v>
      </c>
      <c r="S588" s="5">
        <v>43.18</v>
      </c>
      <c r="T588" s="5">
        <f t="shared" si="58"/>
        <v>1</v>
      </c>
      <c r="U588" s="5">
        <f t="shared" si="59"/>
        <v>1</v>
      </c>
      <c r="V588" s="5">
        <f t="shared" si="60"/>
        <v>1</v>
      </c>
      <c r="W588" s="5">
        <v>48.767999999999994</v>
      </c>
      <c r="X588" s="5">
        <v>0.93700000000000006</v>
      </c>
    </row>
    <row r="589" spans="1:24" x14ac:dyDescent="0.25">
      <c r="A589" s="5" t="s">
        <v>913</v>
      </c>
      <c r="B589" s="5">
        <v>14.584006612000001</v>
      </c>
      <c r="C589" s="5">
        <v>1870.9639999999999</v>
      </c>
      <c r="D589" s="6">
        <v>63.5</v>
      </c>
      <c r="E589" s="6">
        <v>88.899999999999991</v>
      </c>
      <c r="F589" s="5">
        <v>6.35</v>
      </c>
      <c r="G589" s="5">
        <f t="shared" si="55"/>
        <v>1</v>
      </c>
      <c r="H589" s="6" t="str">
        <f t="shared" si="56"/>
        <v>SLBB</v>
      </c>
      <c r="I589" s="5">
        <v>15.417799999999998</v>
      </c>
      <c r="J589" s="5">
        <f t="shared" si="57"/>
        <v>0</v>
      </c>
      <c r="K589" s="5">
        <v>0.20699999999999999</v>
      </c>
      <c r="L589" s="5">
        <v>645158.70967999997</v>
      </c>
      <c r="M589" s="5">
        <v>1.46</v>
      </c>
      <c r="N589" s="5">
        <v>0.81899999999999995</v>
      </c>
      <c r="O589" s="5">
        <v>18.567399999999999</v>
      </c>
      <c r="P589" s="5">
        <v>4133178.0562079996</v>
      </c>
      <c r="Q589" s="5">
        <v>70136.633919999993</v>
      </c>
      <c r="R589" s="5">
        <v>41950.883839999995</v>
      </c>
      <c r="S589" s="5">
        <v>46.99</v>
      </c>
      <c r="T589" s="5">
        <f t="shared" si="58"/>
        <v>1</v>
      </c>
      <c r="U589" s="5">
        <f t="shared" si="59"/>
        <v>1</v>
      </c>
      <c r="V589" s="5">
        <f t="shared" si="60"/>
        <v>1</v>
      </c>
      <c r="W589" s="5">
        <v>52.069999999999993</v>
      </c>
      <c r="X589" s="5">
        <v>0.94399999999999995</v>
      </c>
    </row>
    <row r="590" spans="1:24" x14ac:dyDescent="0.25">
      <c r="A590" s="5" t="s">
        <v>914</v>
      </c>
      <c r="B590" s="5">
        <v>25.298786979999999</v>
      </c>
      <c r="C590" s="5">
        <v>3225.7999999999997</v>
      </c>
      <c r="D590" s="6">
        <v>63.5</v>
      </c>
      <c r="E590" s="6">
        <v>76.199999999999989</v>
      </c>
      <c r="F590" s="5">
        <v>12.7</v>
      </c>
      <c r="G590" s="5">
        <f t="shared" si="55"/>
        <v>1</v>
      </c>
      <c r="H590" s="6" t="str">
        <f t="shared" si="56"/>
        <v>SLBB</v>
      </c>
      <c r="I590" s="5">
        <v>18.948399999999999</v>
      </c>
      <c r="J590" s="5">
        <f t="shared" si="57"/>
        <v>0</v>
      </c>
      <c r="K590" s="5">
        <v>0.41699999999999998</v>
      </c>
      <c r="L590" s="5">
        <v>1073877.0780479999</v>
      </c>
      <c r="M590" s="5">
        <v>2.68</v>
      </c>
      <c r="N590" s="5">
        <v>1.47</v>
      </c>
      <c r="O590" s="5">
        <v>18.237199999999998</v>
      </c>
      <c r="P590" s="5">
        <v>3791868.2872159993</v>
      </c>
      <c r="Q590" s="5">
        <v>81443.708079999982</v>
      </c>
      <c r="R590" s="5">
        <v>49816.674559999999</v>
      </c>
      <c r="S590" s="5">
        <v>34.29</v>
      </c>
      <c r="T590" s="5">
        <f t="shared" si="58"/>
        <v>1</v>
      </c>
      <c r="U590" s="5">
        <f t="shared" si="59"/>
        <v>1</v>
      </c>
      <c r="V590" s="5">
        <f t="shared" si="60"/>
        <v>1</v>
      </c>
      <c r="W590" s="5">
        <v>40.893999999999998</v>
      </c>
      <c r="X590" s="5">
        <v>0.90500000000000003</v>
      </c>
    </row>
    <row r="591" spans="1:24" x14ac:dyDescent="0.25">
      <c r="A591" s="5" t="s">
        <v>915</v>
      </c>
      <c r="B591" s="5">
        <v>25.298786979999999</v>
      </c>
      <c r="C591" s="5">
        <v>3225.7999999999997</v>
      </c>
      <c r="D591" s="6">
        <v>63.5</v>
      </c>
      <c r="E591" s="6">
        <v>76.199999999999989</v>
      </c>
      <c r="F591" s="5">
        <v>12.7</v>
      </c>
      <c r="G591" s="5">
        <f t="shared" si="55"/>
        <v>1</v>
      </c>
      <c r="H591" s="6" t="str">
        <f t="shared" si="56"/>
        <v>SLBB</v>
      </c>
      <c r="I591" s="5">
        <v>18.948399999999999</v>
      </c>
      <c r="J591" s="5">
        <f t="shared" si="57"/>
        <v>0</v>
      </c>
      <c r="K591" s="5">
        <v>0.41699999999999998</v>
      </c>
      <c r="L591" s="5">
        <v>1073877.0780479999</v>
      </c>
      <c r="M591" s="5">
        <v>2.68</v>
      </c>
      <c r="N591" s="5">
        <v>1.47</v>
      </c>
      <c r="O591" s="5">
        <v>18.237199999999998</v>
      </c>
      <c r="P591" s="5">
        <v>4620168.8241599994</v>
      </c>
      <c r="Q591" s="5">
        <v>96847.548239999989</v>
      </c>
      <c r="R591" s="5">
        <v>57026.982719999993</v>
      </c>
      <c r="S591" s="5">
        <v>37.845999999999997</v>
      </c>
      <c r="T591" s="5">
        <f t="shared" si="58"/>
        <v>1</v>
      </c>
      <c r="U591" s="5">
        <f t="shared" si="59"/>
        <v>1</v>
      </c>
      <c r="V591" s="5">
        <f t="shared" si="60"/>
        <v>1</v>
      </c>
      <c r="W591" s="5">
        <v>43.942</v>
      </c>
      <c r="X591" s="5">
        <v>0.91800000000000004</v>
      </c>
    </row>
    <row r="592" spans="1:24" x14ac:dyDescent="0.25">
      <c r="A592" s="5" t="s">
        <v>916</v>
      </c>
      <c r="B592" s="5">
        <v>25.298786979999999</v>
      </c>
      <c r="C592" s="5">
        <v>3225.7999999999997</v>
      </c>
      <c r="D592" s="6">
        <v>63.5</v>
      </c>
      <c r="E592" s="6">
        <v>76.199999999999989</v>
      </c>
      <c r="F592" s="5">
        <v>12.7</v>
      </c>
      <c r="G592" s="5">
        <f t="shared" si="55"/>
        <v>1</v>
      </c>
      <c r="H592" s="6" t="str">
        <f t="shared" si="56"/>
        <v>SLBB</v>
      </c>
      <c r="I592" s="5">
        <v>18.948399999999999</v>
      </c>
      <c r="J592" s="5">
        <f t="shared" si="57"/>
        <v>0</v>
      </c>
      <c r="K592" s="5">
        <v>0.41699999999999998</v>
      </c>
      <c r="L592" s="5">
        <v>1073877.0780479999</v>
      </c>
      <c r="M592" s="5">
        <v>2.68</v>
      </c>
      <c r="N592" s="5">
        <v>1.47</v>
      </c>
      <c r="O592" s="5">
        <v>18.237199999999998</v>
      </c>
      <c r="P592" s="5">
        <v>5577501.1030399995</v>
      </c>
      <c r="Q592" s="5">
        <v>112251.38839999998</v>
      </c>
      <c r="R592" s="5">
        <v>65056.644079999998</v>
      </c>
      <c r="S592" s="5">
        <v>41.655999999999992</v>
      </c>
      <c r="T592" s="5">
        <f t="shared" si="58"/>
        <v>1</v>
      </c>
      <c r="U592" s="5">
        <f t="shared" si="59"/>
        <v>1</v>
      </c>
      <c r="V592" s="5">
        <f t="shared" si="60"/>
        <v>1</v>
      </c>
      <c r="W592" s="5">
        <v>47.244</v>
      </c>
      <c r="X592" s="5">
        <v>0.92900000000000005</v>
      </c>
    </row>
    <row r="593" spans="1:24" x14ac:dyDescent="0.25">
      <c r="A593" s="5" t="s">
        <v>917</v>
      </c>
      <c r="B593" s="5">
        <v>22.620091887999997</v>
      </c>
      <c r="C593" s="5">
        <v>2864.5104000000001</v>
      </c>
      <c r="D593" s="6">
        <v>63.5</v>
      </c>
      <c r="E593" s="6">
        <v>76.199999999999989</v>
      </c>
      <c r="F593" s="5">
        <v>11.1252</v>
      </c>
      <c r="G593" s="5">
        <f t="shared" si="55"/>
        <v>1</v>
      </c>
      <c r="H593" s="6" t="str">
        <f t="shared" si="56"/>
        <v>SLBB</v>
      </c>
      <c r="I593" s="5">
        <v>18.389599999999998</v>
      </c>
      <c r="J593" s="5">
        <f t="shared" si="57"/>
        <v>0</v>
      </c>
      <c r="K593" s="5">
        <v>0.37</v>
      </c>
      <c r="L593" s="5">
        <v>969819.22164799995</v>
      </c>
      <c r="M593" s="5">
        <v>2.38</v>
      </c>
      <c r="N593" s="5">
        <v>1.31</v>
      </c>
      <c r="O593" s="5">
        <v>18.389599999999998</v>
      </c>
      <c r="P593" s="5">
        <v>3317364.4620319996</v>
      </c>
      <c r="Q593" s="5">
        <v>70792.116479999997</v>
      </c>
      <c r="R593" s="5">
        <v>43589.590239999998</v>
      </c>
      <c r="S593" s="5">
        <v>34.036000000000001</v>
      </c>
      <c r="T593" s="5">
        <f t="shared" si="58"/>
        <v>1</v>
      </c>
      <c r="U593" s="5">
        <f t="shared" si="59"/>
        <v>1</v>
      </c>
      <c r="V593" s="5">
        <f t="shared" si="60"/>
        <v>1</v>
      </c>
      <c r="W593" s="5">
        <v>40.64</v>
      </c>
      <c r="X593" s="5">
        <v>0.90100000000000002</v>
      </c>
    </row>
    <row r="594" spans="1:24" x14ac:dyDescent="0.25">
      <c r="A594" s="5" t="s">
        <v>918</v>
      </c>
      <c r="B594" s="5">
        <v>22.620091887999997</v>
      </c>
      <c r="C594" s="5">
        <v>2864.5104000000001</v>
      </c>
      <c r="D594" s="6">
        <v>63.5</v>
      </c>
      <c r="E594" s="6">
        <v>76.199999999999989</v>
      </c>
      <c r="F594" s="5">
        <v>11.1252</v>
      </c>
      <c r="G594" s="5">
        <f t="shared" si="55"/>
        <v>1</v>
      </c>
      <c r="H594" s="6" t="str">
        <f t="shared" si="56"/>
        <v>SLBB</v>
      </c>
      <c r="I594" s="5">
        <v>18.389599999999998</v>
      </c>
      <c r="J594" s="5">
        <f t="shared" si="57"/>
        <v>0</v>
      </c>
      <c r="K594" s="5">
        <v>0.37</v>
      </c>
      <c r="L594" s="5">
        <v>969819.22164799995</v>
      </c>
      <c r="M594" s="5">
        <v>2.38</v>
      </c>
      <c r="N594" s="5">
        <v>1.31</v>
      </c>
      <c r="O594" s="5">
        <v>18.389599999999998</v>
      </c>
      <c r="P594" s="5">
        <v>4049931.7710879999</v>
      </c>
      <c r="Q594" s="5">
        <v>84393.3796</v>
      </c>
      <c r="R594" s="5">
        <v>49980.545199999993</v>
      </c>
      <c r="S594" s="5">
        <v>37.591999999999999</v>
      </c>
      <c r="T594" s="5">
        <f t="shared" si="58"/>
        <v>1</v>
      </c>
      <c r="U594" s="5">
        <f t="shared" si="59"/>
        <v>1</v>
      </c>
      <c r="V594" s="5">
        <f t="shared" si="60"/>
        <v>1</v>
      </c>
      <c r="W594" s="5">
        <v>43.687999999999995</v>
      </c>
      <c r="X594" s="5">
        <v>0.91400000000000003</v>
      </c>
    </row>
    <row r="595" spans="1:24" x14ac:dyDescent="0.25">
      <c r="A595" s="5" t="s">
        <v>919</v>
      </c>
      <c r="B595" s="5">
        <v>22.620091887999997</v>
      </c>
      <c r="C595" s="5">
        <v>2864.5104000000001</v>
      </c>
      <c r="D595" s="6">
        <v>63.5</v>
      </c>
      <c r="E595" s="6">
        <v>76.199999999999989</v>
      </c>
      <c r="F595" s="5">
        <v>11.1252</v>
      </c>
      <c r="G595" s="5">
        <f t="shared" si="55"/>
        <v>1</v>
      </c>
      <c r="H595" s="6" t="str">
        <f t="shared" si="56"/>
        <v>SLBB</v>
      </c>
      <c r="I595" s="5">
        <v>18.389599999999998</v>
      </c>
      <c r="J595" s="5">
        <f t="shared" si="57"/>
        <v>0</v>
      </c>
      <c r="K595" s="5">
        <v>0.37</v>
      </c>
      <c r="L595" s="5">
        <v>969819.22164799995</v>
      </c>
      <c r="M595" s="5">
        <v>2.38</v>
      </c>
      <c r="N595" s="5">
        <v>1.31</v>
      </c>
      <c r="O595" s="5">
        <v>18.389599999999998</v>
      </c>
      <c r="P595" s="5">
        <v>4911530.8220799994</v>
      </c>
      <c r="Q595" s="5">
        <v>97994.642720000003</v>
      </c>
      <c r="R595" s="5">
        <v>57354.723999999995</v>
      </c>
      <c r="S595" s="5">
        <v>41.401999999999994</v>
      </c>
      <c r="T595" s="5">
        <f t="shared" si="58"/>
        <v>1</v>
      </c>
      <c r="U595" s="5">
        <f t="shared" si="59"/>
        <v>1</v>
      </c>
      <c r="V595" s="5">
        <f t="shared" si="60"/>
        <v>1</v>
      </c>
      <c r="W595" s="5">
        <v>46.99</v>
      </c>
      <c r="X595" s="5">
        <v>0.92600000000000005</v>
      </c>
    </row>
    <row r="596" spans="1:24" x14ac:dyDescent="0.25">
      <c r="A596" s="5" t="s">
        <v>920</v>
      </c>
      <c r="B596" s="5">
        <v>19.643764007999998</v>
      </c>
      <c r="C596" s="5">
        <v>2490.3175999999999</v>
      </c>
      <c r="D596" s="6">
        <v>63.5</v>
      </c>
      <c r="E596" s="6">
        <v>76.199999999999989</v>
      </c>
      <c r="F596" s="5">
        <v>9.5249999999999986</v>
      </c>
      <c r="G596" s="5">
        <f t="shared" si="55"/>
        <v>1</v>
      </c>
      <c r="H596" s="6" t="str">
        <f t="shared" si="56"/>
        <v>SLBB</v>
      </c>
      <c r="I596" s="5">
        <v>17.805399999999999</v>
      </c>
      <c r="J596" s="5">
        <f t="shared" si="57"/>
        <v>0</v>
      </c>
      <c r="K596" s="5">
        <v>0.32200000000000001</v>
      </c>
      <c r="L596" s="5">
        <v>857436.73673599993</v>
      </c>
      <c r="M596" s="5">
        <v>2.0699999999999998</v>
      </c>
      <c r="N596" s="5">
        <v>1.1499999999999999</v>
      </c>
      <c r="O596" s="5">
        <v>18.567399999999999</v>
      </c>
      <c r="P596" s="5">
        <v>2801237.4942879998</v>
      </c>
      <c r="Q596" s="5">
        <v>59976.654239999996</v>
      </c>
      <c r="R596" s="5">
        <v>36707.023359999999</v>
      </c>
      <c r="S596" s="5">
        <v>33.527999999999999</v>
      </c>
      <c r="T596" s="5">
        <f t="shared" si="58"/>
        <v>1</v>
      </c>
      <c r="U596" s="5">
        <f t="shared" si="59"/>
        <v>1</v>
      </c>
      <c r="V596" s="5">
        <f t="shared" si="60"/>
        <v>1</v>
      </c>
      <c r="W596" s="5">
        <v>40.64</v>
      </c>
      <c r="X596" s="5">
        <v>0.89700000000000002</v>
      </c>
    </row>
    <row r="597" spans="1:24" x14ac:dyDescent="0.25">
      <c r="A597" s="5" t="s">
        <v>921</v>
      </c>
      <c r="B597" s="5">
        <v>19.643764007999998</v>
      </c>
      <c r="C597" s="5">
        <v>2490.3175999999999</v>
      </c>
      <c r="D597" s="6">
        <v>63.5</v>
      </c>
      <c r="E597" s="6">
        <v>76.199999999999989</v>
      </c>
      <c r="F597" s="5">
        <v>9.5249999999999986</v>
      </c>
      <c r="G597" s="5">
        <f t="shared" si="55"/>
        <v>1</v>
      </c>
      <c r="H597" s="6" t="str">
        <f t="shared" si="56"/>
        <v>SLBB</v>
      </c>
      <c r="I597" s="5">
        <v>17.805399999999999</v>
      </c>
      <c r="J597" s="5">
        <f t="shared" si="57"/>
        <v>0</v>
      </c>
      <c r="K597" s="5">
        <v>0.32200000000000001</v>
      </c>
      <c r="L597" s="5">
        <v>857436.73673599993</v>
      </c>
      <c r="M597" s="5">
        <v>2.0699999999999998</v>
      </c>
      <c r="N597" s="5">
        <v>1.1499999999999999</v>
      </c>
      <c r="O597" s="5">
        <v>18.567399999999999</v>
      </c>
      <c r="P597" s="5">
        <v>3425584.6326879999</v>
      </c>
      <c r="Q597" s="5">
        <v>71939.210959999982</v>
      </c>
      <c r="R597" s="5">
        <v>42278.625119999997</v>
      </c>
      <c r="S597" s="5">
        <v>37.083999999999996</v>
      </c>
      <c r="T597" s="5">
        <f t="shared" si="58"/>
        <v>1</v>
      </c>
      <c r="U597" s="5">
        <f t="shared" si="59"/>
        <v>1</v>
      </c>
      <c r="V597" s="5">
        <f t="shared" si="60"/>
        <v>1</v>
      </c>
      <c r="W597" s="5">
        <v>43.687999999999995</v>
      </c>
      <c r="X597" s="5">
        <v>0.91100000000000003</v>
      </c>
    </row>
    <row r="598" spans="1:24" x14ac:dyDescent="0.25">
      <c r="A598" s="5" t="s">
        <v>922</v>
      </c>
      <c r="B598" s="5">
        <v>19.643764007999998</v>
      </c>
      <c r="C598" s="5">
        <v>2490.3175999999999</v>
      </c>
      <c r="D598" s="6">
        <v>63.5</v>
      </c>
      <c r="E598" s="6">
        <v>76.199999999999989</v>
      </c>
      <c r="F598" s="5">
        <v>9.5249999999999986</v>
      </c>
      <c r="G598" s="5">
        <f t="shared" si="55"/>
        <v>1</v>
      </c>
      <c r="H598" s="6" t="str">
        <f t="shared" si="56"/>
        <v>SLBB</v>
      </c>
      <c r="I598" s="5">
        <v>17.805399999999999</v>
      </c>
      <c r="J598" s="5">
        <f t="shared" si="57"/>
        <v>0</v>
      </c>
      <c r="K598" s="5">
        <v>0.32200000000000001</v>
      </c>
      <c r="L598" s="5">
        <v>857436.73673599993</v>
      </c>
      <c r="M598" s="5">
        <v>2.0699999999999998</v>
      </c>
      <c r="N598" s="5">
        <v>1.1499999999999999</v>
      </c>
      <c r="O598" s="5">
        <v>18.567399999999999</v>
      </c>
      <c r="P598" s="5">
        <v>4162314.2559999996</v>
      </c>
      <c r="Q598" s="5">
        <v>83737.897039999996</v>
      </c>
      <c r="R598" s="5">
        <v>48505.709439999991</v>
      </c>
      <c r="S598" s="5">
        <v>40.893999999999998</v>
      </c>
      <c r="T598" s="5">
        <f t="shared" si="58"/>
        <v>1</v>
      </c>
      <c r="U598" s="5">
        <f t="shared" si="59"/>
        <v>1</v>
      </c>
      <c r="V598" s="5">
        <f t="shared" si="60"/>
        <v>1</v>
      </c>
      <c r="W598" s="5">
        <v>46.99</v>
      </c>
      <c r="X598" s="5">
        <v>0.92300000000000004</v>
      </c>
    </row>
    <row r="599" spans="1:24" x14ac:dyDescent="0.25">
      <c r="A599" s="5" t="s">
        <v>923</v>
      </c>
      <c r="B599" s="5">
        <v>16.667436127999999</v>
      </c>
      <c r="C599" s="5">
        <v>2103.2215999999999</v>
      </c>
      <c r="D599" s="6">
        <v>63.5</v>
      </c>
      <c r="E599" s="6">
        <v>76.199999999999989</v>
      </c>
      <c r="F599" s="5">
        <v>7.9501999999999997</v>
      </c>
      <c r="G599" s="5">
        <f t="shared" si="55"/>
        <v>1</v>
      </c>
      <c r="H599" s="6" t="str">
        <f t="shared" si="56"/>
        <v>SLBB</v>
      </c>
      <c r="I599" s="5">
        <v>17.195800000000002</v>
      </c>
      <c r="J599" s="5">
        <f t="shared" si="57"/>
        <v>0</v>
      </c>
      <c r="K599" s="5">
        <v>0.27200000000000002</v>
      </c>
      <c r="L599" s="5">
        <v>740891.93756799994</v>
      </c>
      <c r="M599" s="5">
        <v>1.75</v>
      </c>
      <c r="N599" s="5">
        <v>0.97399999999999998</v>
      </c>
      <c r="O599" s="5">
        <v>18.770599999999998</v>
      </c>
      <c r="P599" s="5">
        <v>2326733.6691039996</v>
      </c>
      <c r="Q599" s="5">
        <v>49488.933279999997</v>
      </c>
      <c r="R599" s="5">
        <v>30479.939039999997</v>
      </c>
      <c r="S599" s="5">
        <v>33.274000000000001</v>
      </c>
      <c r="T599" s="5">
        <f t="shared" si="58"/>
        <v>1</v>
      </c>
      <c r="U599" s="5">
        <f t="shared" si="59"/>
        <v>1</v>
      </c>
      <c r="V599" s="5">
        <f t="shared" si="60"/>
        <v>1</v>
      </c>
      <c r="W599" s="5">
        <v>40.386000000000003</v>
      </c>
      <c r="X599" s="5">
        <v>0.89300000000000002</v>
      </c>
    </row>
    <row r="600" spans="1:24" x14ac:dyDescent="0.25">
      <c r="A600" s="5" t="s">
        <v>924</v>
      </c>
      <c r="B600" s="5">
        <v>16.667436127999999</v>
      </c>
      <c r="C600" s="5">
        <v>2103.2215999999999</v>
      </c>
      <c r="D600" s="6">
        <v>63.5</v>
      </c>
      <c r="E600" s="6">
        <v>76.199999999999989</v>
      </c>
      <c r="F600" s="5">
        <v>7.9501999999999997</v>
      </c>
      <c r="G600" s="5">
        <f t="shared" si="55"/>
        <v>1</v>
      </c>
      <c r="H600" s="6" t="str">
        <f t="shared" si="56"/>
        <v>SLBB</v>
      </c>
      <c r="I600" s="5">
        <v>17.195800000000002</v>
      </c>
      <c r="J600" s="5">
        <f t="shared" si="57"/>
        <v>0</v>
      </c>
      <c r="K600" s="5">
        <v>0.27200000000000002</v>
      </c>
      <c r="L600" s="5">
        <v>740891.93756799994</v>
      </c>
      <c r="M600" s="5">
        <v>1.75</v>
      </c>
      <c r="N600" s="5">
        <v>0.97399999999999998</v>
      </c>
      <c r="O600" s="5">
        <v>18.770599999999998</v>
      </c>
      <c r="P600" s="5">
        <v>2851185.2653599996</v>
      </c>
      <c r="Q600" s="5">
        <v>59485.042319999993</v>
      </c>
      <c r="R600" s="5">
        <v>35232.187599999997</v>
      </c>
      <c r="S600" s="5">
        <v>36.83</v>
      </c>
      <c r="T600" s="5">
        <f t="shared" si="58"/>
        <v>1</v>
      </c>
      <c r="U600" s="5">
        <f t="shared" si="59"/>
        <v>1</v>
      </c>
      <c r="V600" s="5">
        <f t="shared" si="60"/>
        <v>1</v>
      </c>
      <c r="W600" s="5">
        <v>43.433999999999997</v>
      </c>
      <c r="X600" s="5">
        <v>0.90700000000000003</v>
      </c>
    </row>
    <row r="601" spans="1:24" x14ac:dyDescent="0.25">
      <c r="A601" s="5" t="s">
        <v>925</v>
      </c>
      <c r="B601" s="5">
        <v>16.667436127999999</v>
      </c>
      <c r="C601" s="5">
        <v>2103.2215999999999</v>
      </c>
      <c r="D601" s="6">
        <v>63.5</v>
      </c>
      <c r="E601" s="6">
        <v>76.199999999999989</v>
      </c>
      <c r="F601" s="5">
        <v>7.9501999999999997</v>
      </c>
      <c r="G601" s="5">
        <f t="shared" si="55"/>
        <v>1</v>
      </c>
      <c r="H601" s="6" t="str">
        <f t="shared" si="56"/>
        <v>SLBB</v>
      </c>
      <c r="I601" s="5">
        <v>17.195800000000002</v>
      </c>
      <c r="J601" s="5">
        <f t="shared" si="57"/>
        <v>0</v>
      </c>
      <c r="K601" s="5">
        <v>0.27200000000000002</v>
      </c>
      <c r="L601" s="5">
        <v>740891.93756799994</v>
      </c>
      <c r="M601" s="5">
        <v>1.75</v>
      </c>
      <c r="N601" s="5">
        <v>0.97399999999999998</v>
      </c>
      <c r="O601" s="5">
        <v>18.770599999999998</v>
      </c>
      <c r="P601" s="5">
        <v>3475532.4037599997</v>
      </c>
      <c r="Q601" s="5">
        <v>69481.151360000003</v>
      </c>
      <c r="R601" s="5">
        <v>40476.04808</v>
      </c>
      <c r="S601" s="5">
        <v>40.64</v>
      </c>
      <c r="T601" s="5">
        <f t="shared" si="58"/>
        <v>1</v>
      </c>
      <c r="U601" s="5">
        <f t="shared" si="59"/>
        <v>1</v>
      </c>
      <c r="V601" s="5">
        <f t="shared" si="60"/>
        <v>1</v>
      </c>
      <c r="W601" s="5">
        <v>46.735999999999997</v>
      </c>
      <c r="X601" s="5">
        <v>0.92</v>
      </c>
    </row>
    <row r="602" spans="1:24" x14ac:dyDescent="0.25">
      <c r="A602" s="5" t="s">
        <v>926</v>
      </c>
      <c r="B602" s="5">
        <v>13.393475459999999</v>
      </c>
      <c r="C602" s="5">
        <v>1703.2224000000001</v>
      </c>
      <c r="D602" s="6">
        <v>63.5</v>
      </c>
      <c r="E602" s="6">
        <v>76.199999999999989</v>
      </c>
      <c r="F602" s="5">
        <v>6.35</v>
      </c>
      <c r="G602" s="5">
        <f t="shared" si="55"/>
        <v>1</v>
      </c>
      <c r="H602" s="6" t="str">
        <f t="shared" si="56"/>
        <v>SLBB</v>
      </c>
      <c r="I602" s="5">
        <v>16.586199999999998</v>
      </c>
      <c r="J602" s="5">
        <f t="shared" si="57"/>
        <v>0</v>
      </c>
      <c r="K602" s="5">
        <v>0.22</v>
      </c>
      <c r="L602" s="5">
        <v>611860.19563199987</v>
      </c>
      <c r="M602" s="5">
        <v>1.41</v>
      </c>
      <c r="N602" s="5">
        <v>0.79400000000000004</v>
      </c>
      <c r="O602" s="5">
        <v>18.948399999999999</v>
      </c>
      <c r="P602" s="5">
        <v>1856392.1581759998</v>
      </c>
      <c r="Q602" s="5">
        <v>39001.212319999991</v>
      </c>
      <c r="R602" s="5">
        <v>24416.725359999997</v>
      </c>
      <c r="S602" s="5">
        <v>33.019999999999996</v>
      </c>
      <c r="T602" s="5">
        <f t="shared" si="58"/>
        <v>1</v>
      </c>
      <c r="U602" s="5">
        <f t="shared" si="59"/>
        <v>1</v>
      </c>
      <c r="V602" s="5">
        <f t="shared" si="60"/>
        <v>1</v>
      </c>
      <c r="W602" s="5">
        <v>40.386000000000003</v>
      </c>
      <c r="X602" s="5">
        <v>0.89</v>
      </c>
    </row>
    <row r="603" spans="1:24" x14ac:dyDescent="0.25">
      <c r="A603" s="5" t="s">
        <v>927</v>
      </c>
      <c r="B603" s="5">
        <v>13.393475459999999</v>
      </c>
      <c r="C603" s="5">
        <v>1703.2224000000001</v>
      </c>
      <c r="D603" s="6">
        <v>63.5</v>
      </c>
      <c r="E603" s="6">
        <v>76.199999999999989</v>
      </c>
      <c r="F603" s="5">
        <v>6.35</v>
      </c>
      <c r="G603" s="5">
        <f t="shared" si="55"/>
        <v>1</v>
      </c>
      <c r="H603" s="6" t="str">
        <f t="shared" si="56"/>
        <v>SLBB</v>
      </c>
      <c r="I603" s="5">
        <v>16.586199999999998</v>
      </c>
      <c r="J603" s="5">
        <f t="shared" si="57"/>
        <v>0</v>
      </c>
      <c r="K603" s="5">
        <v>0.22</v>
      </c>
      <c r="L603" s="5">
        <v>611860.19563199987</v>
      </c>
      <c r="M603" s="5">
        <v>1.41</v>
      </c>
      <c r="N603" s="5">
        <v>0.79400000000000004</v>
      </c>
      <c r="O603" s="5">
        <v>18.948399999999999</v>
      </c>
      <c r="P603" s="5">
        <v>2276785.8980319998</v>
      </c>
      <c r="Q603" s="5">
        <v>47030.873679999997</v>
      </c>
      <c r="R603" s="5">
        <v>28185.750079999998</v>
      </c>
      <c r="S603" s="5">
        <v>36.575999999999993</v>
      </c>
      <c r="T603" s="5">
        <f t="shared" si="58"/>
        <v>1</v>
      </c>
      <c r="U603" s="5">
        <f t="shared" si="59"/>
        <v>1</v>
      </c>
      <c r="V603" s="5">
        <f t="shared" si="60"/>
        <v>1</v>
      </c>
      <c r="W603" s="5">
        <v>43.18</v>
      </c>
      <c r="X603" s="5">
        <v>0.90400000000000003</v>
      </c>
    </row>
    <row r="604" spans="1:24" x14ac:dyDescent="0.25">
      <c r="A604" s="5" t="s">
        <v>928</v>
      </c>
      <c r="B604" s="5">
        <v>13.393475459999999</v>
      </c>
      <c r="C604" s="5">
        <v>1703.2224000000001</v>
      </c>
      <c r="D604" s="6">
        <v>63.5</v>
      </c>
      <c r="E604" s="6">
        <v>76.199999999999989</v>
      </c>
      <c r="F604" s="5">
        <v>6.35</v>
      </c>
      <c r="G604" s="5">
        <f t="shared" si="55"/>
        <v>1</v>
      </c>
      <c r="H604" s="6" t="str">
        <f t="shared" si="56"/>
        <v>SLBB</v>
      </c>
      <c r="I604" s="5">
        <v>16.586199999999998</v>
      </c>
      <c r="J604" s="5">
        <f t="shared" si="57"/>
        <v>0</v>
      </c>
      <c r="K604" s="5">
        <v>0.22</v>
      </c>
      <c r="L604" s="5">
        <v>611860.19563199987</v>
      </c>
      <c r="M604" s="5">
        <v>1.41</v>
      </c>
      <c r="N604" s="5">
        <v>0.79400000000000004</v>
      </c>
      <c r="O604" s="5">
        <v>18.948399999999999</v>
      </c>
      <c r="P604" s="5">
        <v>2742965.0947039998</v>
      </c>
      <c r="Q604" s="5">
        <v>55224.405679999996</v>
      </c>
      <c r="R604" s="5">
        <v>31954.774799999996</v>
      </c>
      <c r="S604" s="5">
        <v>40.131999999999998</v>
      </c>
      <c r="T604" s="5">
        <f t="shared" si="58"/>
        <v>1</v>
      </c>
      <c r="U604" s="5">
        <f t="shared" si="59"/>
        <v>1</v>
      </c>
      <c r="V604" s="5">
        <f t="shared" si="60"/>
        <v>1</v>
      </c>
      <c r="W604" s="5">
        <v>46.481999999999999</v>
      </c>
      <c r="X604" s="5">
        <v>0.91700000000000004</v>
      </c>
    </row>
    <row r="605" spans="1:24" x14ac:dyDescent="0.25">
      <c r="A605" s="5" t="s">
        <v>929</v>
      </c>
      <c r="B605" s="5">
        <v>10.0897515132</v>
      </c>
      <c r="C605" s="5">
        <v>1290.32</v>
      </c>
      <c r="D605" s="6">
        <v>63.5</v>
      </c>
      <c r="E605" s="6">
        <v>76.199999999999989</v>
      </c>
      <c r="F605" s="5">
        <v>4.7751999999999999</v>
      </c>
      <c r="G605" s="5">
        <f t="shared" si="55"/>
        <v>1</v>
      </c>
      <c r="H605" s="6" t="str">
        <f t="shared" si="56"/>
        <v>SLBB</v>
      </c>
      <c r="I605" s="5">
        <v>15.925799999999999</v>
      </c>
      <c r="J605" s="5">
        <f t="shared" si="57"/>
        <v>0</v>
      </c>
      <c r="K605" s="5">
        <v>0.16700000000000001</v>
      </c>
      <c r="L605" s="5">
        <v>474503.8251839999</v>
      </c>
      <c r="M605" s="5">
        <v>1.07</v>
      </c>
      <c r="N605" s="5">
        <v>0.60599999999999998</v>
      </c>
      <c r="O605" s="5">
        <v>19.126200000000001</v>
      </c>
      <c r="P605" s="5">
        <v>1386050.6472479999</v>
      </c>
      <c r="Q605" s="5">
        <v>28677.361999999997</v>
      </c>
      <c r="R605" s="5">
        <v>18189.641039999999</v>
      </c>
      <c r="S605" s="5">
        <v>32.765999999999998</v>
      </c>
      <c r="T605" s="5">
        <f t="shared" si="58"/>
        <v>1</v>
      </c>
      <c r="U605" s="5">
        <f t="shared" si="59"/>
        <v>1</v>
      </c>
      <c r="V605" s="5">
        <f t="shared" si="60"/>
        <v>1</v>
      </c>
      <c r="W605" s="5">
        <v>40.131999999999998</v>
      </c>
      <c r="X605" s="5">
        <v>0.88700000000000001</v>
      </c>
    </row>
    <row r="606" spans="1:24" x14ac:dyDescent="0.25">
      <c r="A606" s="5" t="s">
        <v>930</v>
      </c>
      <c r="B606" s="5">
        <v>10.0897515132</v>
      </c>
      <c r="C606" s="5">
        <v>1290.32</v>
      </c>
      <c r="D606" s="6">
        <v>63.5</v>
      </c>
      <c r="E606" s="6">
        <v>76.199999999999989</v>
      </c>
      <c r="F606" s="5">
        <v>4.7751999999999999</v>
      </c>
      <c r="G606" s="5">
        <f t="shared" si="55"/>
        <v>1</v>
      </c>
      <c r="H606" s="6" t="str">
        <f t="shared" si="56"/>
        <v>SLBB</v>
      </c>
      <c r="I606" s="5">
        <v>15.925799999999999</v>
      </c>
      <c r="J606" s="5">
        <f t="shared" si="57"/>
        <v>0</v>
      </c>
      <c r="K606" s="5">
        <v>0.16700000000000001</v>
      </c>
      <c r="L606" s="5">
        <v>474503.8251839999</v>
      </c>
      <c r="M606" s="5">
        <v>1.07</v>
      </c>
      <c r="N606" s="5">
        <v>0.60599999999999998</v>
      </c>
      <c r="O606" s="5">
        <v>19.126200000000001</v>
      </c>
      <c r="P606" s="5">
        <v>1677412.6451679999</v>
      </c>
      <c r="Q606" s="5">
        <v>34740.575680000002</v>
      </c>
      <c r="R606" s="5">
        <v>20647.700639999999</v>
      </c>
      <c r="S606" s="5">
        <v>36.067999999999998</v>
      </c>
      <c r="T606" s="5">
        <f t="shared" si="58"/>
        <v>1</v>
      </c>
      <c r="U606" s="5">
        <f t="shared" si="59"/>
        <v>1</v>
      </c>
      <c r="V606" s="5">
        <f t="shared" si="60"/>
        <v>1</v>
      </c>
      <c r="W606" s="5">
        <v>43.18</v>
      </c>
      <c r="X606" s="5">
        <v>0.90100000000000002</v>
      </c>
    </row>
    <row r="607" spans="1:24" x14ac:dyDescent="0.25">
      <c r="A607" s="5" t="s">
        <v>931</v>
      </c>
      <c r="B607" s="5">
        <v>10.0897515132</v>
      </c>
      <c r="C607" s="5">
        <v>1290.32</v>
      </c>
      <c r="D607" s="6">
        <v>63.5</v>
      </c>
      <c r="E607" s="6">
        <v>76.199999999999989</v>
      </c>
      <c r="F607" s="5">
        <v>4.7751999999999999</v>
      </c>
      <c r="G607" s="5">
        <f t="shared" si="55"/>
        <v>1</v>
      </c>
      <c r="H607" s="6" t="str">
        <f t="shared" si="56"/>
        <v>SLBB</v>
      </c>
      <c r="I607" s="5">
        <v>15.925799999999999</v>
      </c>
      <c r="J607" s="5">
        <f t="shared" si="57"/>
        <v>0</v>
      </c>
      <c r="K607" s="5">
        <v>0.16700000000000001</v>
      </c>
      <c r="L607" s="5">
        <v>474503.8251839999</v>
      </c>
      <c r="M607" s="5">
        <v>1.07</v>
      </c>
      <c r="N607" s="5">
        <v>0.60599999999999998</v>
      </c>
      <c r="O607" s="5">
        <v>19.126200000000001</v>
      </c>
      <c r="P607" s="5">
        <v>2052020.9282079998</v>
      </c>
      <c r="Q607" s="5">
        <v>40967.659999999996</v>
      </c>
      <c r="R607" s="5">
        <v>23925.113439999997</v>
      </c>
      <c r="S607" s="5">
        <v>39.878</v>
      </c>
      <c r="T607" s="5">
        <f t="shared" si="58"/>
        <v>1</v>
      </c>
      <c r="U607" s="5">
        <f t="shared" si="59"/>
        <v>1</v>
      </c>
      <c r="V607" s="5">
        <f t="shared" si="60"/>
        <v>1</v>
      </c>
      <c r="W607" s="5">
        <v>46.228000000000002</v>
      </c>
      <c r="X607" s="5">
        <v>0.91400000000000003</v>
      </c>
    </row>
    <row r="608" spans="1:24" x14ac:dyDescent="0.25">
      <c r="A608" s="5" t="s">
        <v>932</v>
      </c>
      <c r="B608" s="5">
        <v>22.917724675999999</v>
      </c>
      <c r="C608" s="5">
        <v>2916.1231999999995</v>
      </c>
      <c r="D608" s="6">
        <v>50.8</v>
      </c>
      <c r="E608" s="6">
        <v>76.199999999999989</v>
      </c>
      <c r="F608" s="5">
        <v>12.7</v>
      </c>
      <c r="G608" s="5">
        <f t="shared" si="55"/>
        <v>1</v>
      </c>
      <c r="H608" s="6" t="str">
        <f t="shared" si="56"/>
        <v>SLBB</v>
      </c>
      <c r="I608" s="5">
        <v>14.731999999999998</v>
      </c>
      <c r="J608" s="5">
        <f t="shared" si="57"/>
        <v>0</v>
      </c>
      <c r="K608" s="5">
        <v>0.377</v>
      </c>
      <c r="L608" s="5">
        <v>553587.79604799999</v>
      </c>
      <c r="M608" s="5">
        <v>1.77</v>
      </c>
      <c r="N608" s="5">
        <v>0.94</v>
      </c>
      <c r="O608" s="5">
        <v>13.792199999999999</v>
      </c>
      <c r="P608" s="5">
        <v>3791868.2872159993</v>
      </c>
      <c r="Q608" s="5">
        <v>79968.872319999995</v>
      </c>
      <c r="R608" s="5">
        <v>49816.674559999999</v>
      </c>
      <c r="S608" s="5">
        <v>36.067999999999998</v>
      </c>
      <c r="T608" s="5">
        <f t="shared" si="58"/>
        <v>1</v>
      </c>
      <c r="U608" s="5">
        <f t="shared" si="59"/>
        <v>1</v>
      </c>
      <c r="V608" s="5">
        <f t="shared" si="60"/>
        <v>1</v>
      </c>
      <c r="W608" s="5">
        <v>39.369999999999997</v>
      </c>
      <c r="X608" s="5">
        <v>0.95499999999999996</v>
      </c>
    </row>
    <row r="609" spans="1:24" x14ac:dyDescent="0.25">
      <c r="A609" s="5" t="s">
        <v>933</v>
      </c>
      <c r="B609" s="5">
        <v>22.917724675999999</v>
      </c>
      <c r="C609" s="5">
        <v>2916.1231999999995</v>
      </c>
      <c r="D609" s="6">
        <v>50.8</v>
      </c>
      <c r="E609" s="6">
        <v>76.199999999999989</v>
      </c>
      <c r="F609" s="5">
        <v>12.7</v>
      </c>
      <c r="G609" s="5">
        <f t="shared" si="55"/>
        <v>1</v>
      </c>
      <c r="H609" s="6" t="str">
        <f t="shared" si="56"/>
        <v>SLBB</v>
      </c>
      <c r="I609" s="5">
        <v>14.731999999999998</v>
      </c>
      <c r="J609" s="5">
        <f t="shared" si="57"/>
        <v>0</v>
      </c>
      <c r="K609" s="5">
        <v>0.377</v>
      </c>
      <c r="L609" s="5">
        <v>553587.79604799999</v>
      </c>
      <c r="M609" s="5">
        <v>1.77</v>
      </c>
      <c r="N609" s="5">
        <v>0.94</v>
      </c>
      <c r="O609" s="5">
        <v>13.792199999999999</v>
      </c>
      <c r="P609" s="5">
        <v>4578545.6815999998</v>
      </c>
      <c r="Q609" s="5">
        <v>93897.87672</v>
      </c>
      <c r="R609" s="5">
        <v>56535.370799999997</v>
      </c>
      <c r="S609" s="5">
        <v>39.624000000000002</v>
      </c>
      <c r="T609" s="5">
        <f t="shared" si="58"/>
        <v>1</v>
      </c>
      <c r="U609" s="5">
        <f t="shared" si="59"/>
        <v>1</v>
      </c>
      <c r="V609" s="5">
        <f t="shared" si="60"/>
        <v>1</v>
      </c>
      <c r="W609" s="5">
        <v>42.925999999999995</v>
      </c>
      <c r="X609" s="5">
        <v>0.96199999999999997</v>
      </c>
    </row>
    <row r="610" spans="1:24" x14ac:dyDescent="0.25">
      <c r="A610" s="5" t="s">
        <v>934</v>
      </c>
      <c r="B610" s="5">
        <v>22.917724675999999</v>
      </c>
      <c r="C610" s="5">
        <v>2916.1231999999995</v>
      </c>
      <c r="D610" s="6">
        <v>50.8</v>
      </c>
      <c r="E610" s="6">
        <v>76.199999999999989</v>
      </c>
      <c r="F610" s="5">
        <v>12.7</v>
      </c>
      <c r="G610" s="5">
        <f t="shared" si="55"/>
        <v>1</v>
      </c>
      <c r="H610" s="6" t="str">
        <f t="shared" si="56"/>
        <v>SLBB</v>
      </c>
      <c r="I610" s="5">
        <v>14.731999999999998</v>
      </c>
      <c r="J610" s="5">
        <f t="shared" si="57"/>
        <v>0</v>
      </c>
      <c r="K610" s="5">
        <v>0.377</v>
      </c>
      <c r="L610" s="5">
        <v>553587.79604799999</v>
      </c>
      <c r="M610" s="5">
        <v>1.77</v>
      </c>
      <c r="N610" s="5">
        <v>0.94</v>
      </c>
      <c r="O610" s="5">
        <v>13.792199999999999</v>
      </c>
      <c r="P610" s="5">
        <v>5577501.1030399995</v>
      </c>
      <c r="Q610" s="5">
        <v>107826.88111999999</v>
      </c>
      <c r="R610" s="5">
        <v>65056.644079999998</v>
      </c>
      <c r="S610" s="5">
        <v>43.687999999999995</v>
      </c>
      <c r="T610" s="5">
        <f t="shared" si="58"/>
        <v>1</v>
      </c>
      <c r="U610" s="5">
        <f t="shared" si="59"/>
        <v>1</v>
      </c>
      <c r="V610" s="5">
        <f t="shared" si="60"/>
        <v>1</v>
      </c>
      <c r="W610" s="5">
        <v>46.481999999999999</v>
      </c>
      <c r="X610" s="5">
        <v>0.96799999999999997</v>
      </c>
    </row>
    <row r="611" spans="1:24" x14ac:dyDescent="0.25">
      <c r="A611" s="5" t="s">
        <v>935</v>
      </c>
      <c r="B611" s="5">
        <v>17.560334491999999</v>
      </c>
      <c r="C611" s="5">
        <v>2258.06</v>
      </c>
      <c r="D611" s="6">
        <v>50.8</v>
      </c>
      <c r="E611" s="6">
        <v>76.199999999999989</v>
      </c>
      <c r="F611" s="5">
        <v>9.5249999999999986</v>
      </c>
      <c r="G611" s="5">
        <f t="shared" si="55"/>
        <v>1</v>
      </c>
      <c r="H611" s="6" t="str">
        <f t="shared" si="56"/>
        <v>SLBB</v>
      </c>
      <c r="I611" s="5">
        <v>13.589</v>
      </c>
      <c r="J611" s="5">
        <f t="shared" si="57"/>
        <v>0</v>
      </c>
      <c r="K611" s="5">
        <v>0.29199999999999998</v>
      </c>
      <c r="L611" s="5">
        <v>449529.939648</v>
      </c>
      <c r="M611" s="5">
        <v>1.36</v>
      </c>
      <c r="N611" s="5">
        <v>0.73599999999999999</v>
      </c>
      <c r="O611" s="5">
        <v>14.097000000000001</v>
      </c>
      <c r="P611" s="5">
        <v>2813724.4370559994</v>
      </c>
      <c r="Q611" s="5">
        <v>58993.430399999997</v>
      </c>
      <c r="R611" s="5">
        <v>36870.894</v>
      </c>
      <c r="S611" s="5">
        <v>35.305999999999997</v>
      </c>
      <c r="T611" s="5">
        <f t="shared" si="58"/>
        <v>1</v>
      </c>
      <c r="U611" s="5">
        <f t="shared" si="59"/>
        <v>1</v>
      </c>
      <c r="V611" s="5">
        <f t="shared" si="60"/>
        <v>1</v>
      </c>
      <c r="W611" s="5">
        <v>39.116</v>
      </c>
      <c r="X611" s="5">
        <v>0.94899999999999995</v>
      </c>
    </row>
    <row r="612" spans="1:24" x14ac:dyDescent="0.25">
      <c r="A612" s="5" t="s">
        <v>936</v>
      </c>
      <c r="B612" s="5">
        <v>17.560334491999999</v>
      </c>
      <c r="C612" s="5">
        <v>2258.06</v>
      </c>
      <c r="D612" s="6">
        <v>50.8</v>
      </c>
      <c r="E612" s="6">
        <v>76.199999999999989</v>
      </c>
      <c r="F612" s="5">
        <v>9.5249999999999986</v>
      </c>
      <c r="G612" s="5">
        <f t="shared" si="55"/>
        <v>1</v>
      </c>
      <c r="H612" s="6" t="str">
        <f t="shared" si="56"/>
        <v>SLBB</v>
      </c>
      <c r="I612" s="5">
        <v>13.589</v>
      </c>
      <c r="J612" s="5">
        <f t="shared" si="57"/>
        <v>0</v>
      </c>
      <c r="K612" s="5">
        <v>0.29199999999999998</v>
      </c>
      <c r="L612" s="5">
        <v>449529.939648</v>
      </c>
      <c r="M612" s="5">
        <v>1.36</v>
      </c>
      <c r="N612" s="5">
        <v>0.73599999999999999</v>
      </c>
      <c r="O612" s="5">
        <v>14.097000000000001</v>
      </c>
      <c r="P612" s="5">
        <v>3454720.8324799999</v>
      </c>
      <c r="Q612" s="5">
        <v>69808.892639999991</v>
      </c>
      <c r="R612" s="5">
        <v>42606.366399999999</v>
      </c>
      <c r="S612" s="5">
        <v>39.116</v>
      </c>
      <c r="T612" s="5">
        <f t="shared" si="58"/>
        <v>1</v>
      </c>
      <c r="U612" s="5">
        <f t="shared" si="59"/>
        <v>1</v>
      </c>
      <c r="V612" s="5">
        <f t="shared" si="60"/>
        <v>1</v>
      </c>
      <c r="W612" s="5">
        <v>42.417999999999999</v>
      </c>
      <c r="X612" s="5">
        <v>0.95699999999999996</v>
      </c>
    </row>
    <row r="613" spans="1:24" x14ac:dyDescent="0.25">
      <c r="A613" s="5" t="s">
        <v>937</v>
      </c>
      <c r="B613" s="5">
        <v>17.560334491999999</v>
      </c>
      <c r="C613" s="5">
        <v>2258.06</v>
      </c>
      <c r="D613" s="6">
        <v>50.8</v>
      </c>
      <c r="E613" s="6">
        <v>76.199999999999989</v>
      </c>
      <c r="F613" s="5">
        <v>9.5249999999999986</v>
      </c>
      <c r="G613" s="5">
        <f t="shared" si="55"/>
        <v>1</v>
      </c>
      <c r="H613" s="6" t="str">
        <f t="shared" si="56"/>
        <v>SLBB</v>
      </c>
      <c r="I613" s="5">
        <v>13.589</v>
      </c>
      <c r="J613" s="5">
        <f t="shared" si="57"/>
        <v>0</v>
      </c>
      <c r="K613" s="5">
        <v>0.29199999999999998</v>
      </c>
      <c r="L613" s="5">
        <v>449529.939648</v>
      </c>
      <c r="M613" s="5">
        <v>1.36</v>
      </c>
      <c r="N613" s="5">
        <v>0.73599999999999999</v>
      </c>
      <c r="O613" s="5">
        <v>14.097000000000001</v>
      </c>
      <c r="P613" s="5">
        <v>4162314.2559999996</v>
      </c>
      <c r="Q613" s="5">
        <v>80624.354879999984</v>
      </c>
      <c r="R613" s="5">
        <v>48505.709439999991</v>
      </c>
      <c r="S613" s="5">
        <v>42.925999999999995</v>
      </c>
      <c r="T613" s="5">
        <f t="shared" si="58"/>
        <v>1</v>
      </c>
      <c r="U613" s="5">
        <f t="shared" si="59"/>
        <v>1</v>
      </c>
      <c r="V613" s="5">
        <f t="shared" si="60"/>
        <v>1</v>
      </c>
      <c r="W613" s="5">
        <v>45.973999999999997</v>
      </c>
      <c r="X613" s="5">
        <v>0.96299999999999997</v>
      </c>
    </row>
    <row r="614" spans="1:24" x14ac:dyDescent="0.25">
      <c r="A614" s="5" t="s">
        <v>938</v>
      </c>
      <c r="B614" s="5">
        <v>14.881639399999999</v>
      </c>
      <c r="C614" s="5">
        <v>1909.6735999999999</v>
      </c>
      <c r="D614" s="6">
        <v>50.8</v>
      </c>
      <c r="E614" s="6">
        <v>76.199999999999989</v>
      </c>
      <c r="F614" s="5">
        <v>7.9501999999999997</v>
      </c>
      <c r="G614" s="5">
        <f t="shared" si="55"/>
        <v>1</v>
      </c>
      <c r="H614" s="6" t="str">
        <f t="shared" si="56"/>
        <v>SLBB</v>
      </c>
      <c r="I614" s="5">
        <v>12.9794</v>
      </c>
      <c r="J614" s="5">
        <f t="shared" si="57"/>
        <v>0</v>
      </c>
      <c r="K614" s="5">
        <v>0.247</v>
      </c>
      <c r="L614" s="5">
        <v>389176.38293600001</v>
      </c>
      <c r="M614" s="5">
        <v>1.1399999999999999</v>
      </c>
      <c r="N614" s="5">
        <v>0.628</v>
      </c>
      <c r="O614" s="5">
        <v>14.274800000000001</v>
      </c>
      <c r="P614" s="5">
        <v>2347545.2403839994</v>
      </c>
      <c r="Q614" s="5">
        <v>48997.321360000002</v>
      </c>
      <c r="R614" s="5">
        <v>30807.680319999996</v>
      </c>
      <c r="S614" s="5">
        <v>35.051999999999992</v>
      </c>
      <c r="T614" s="5">
        <f t="shared" si="58"/>
        <v>1</v>
      </c>
      <c r="U614" s="5">
        <f t="shared" si="59"/>
        <v>1</v>
      </c>
      <c r="V614" s="5">
        <f t="shared" si="60"/>
        <v>1</v>
      </c>
      <c r="W614" s="5">
        <v>38.862000000000002</v>
      </c>
      <c r="X614" s="5">
        <v>0.94599999999999995</v>
      </c>
    </row>
    <row r="615" spans="1:24" x14ac:dyDescent="0.25">
      <c r="A615" s="5" t="s">
        <v>939</v>
      </c>
      <c r="B615" s="5">
        <v>14.881639399999999</v>
      </c>
      <c r="C615" s="5">
        <v>1909.6735999999999</v>
      </c>
      <c r="D615" s="6">
        <v>50.8</v>
      </c>
      <c r="E615" s="6">
        <v>76.199999999999989</v>
      </c>
      <c r="F615" s="5">
        <v>7.9501999999999997</v>
      </c>
      <c r="G615" s="5">
        <f t="shared" si="55"/>
        <v>1</v>
      </c>
      <c r="H615" s="6" t="str">
        <f t="shared" si="56"/>
        <v>SLBB</v>
      </c>
      <c r="I615" s="5">
        <v>12.9794</v>
      </c>
      <c r="J615" s="5">
        <f t="shared" si="57"/>
        <v>0</v>
      </c>
      <c r="K615" s="5">
        <v>0.247</v>
      </c>
      <c r="L615" s="5">
        <v>389176.38293600001</v>
      </c>
      <c r="M615" s="5">
        <v>1.1399999999999999</v>
      </c>
      <c r="N615" s="5">
        <v>0.628</v>
      </c>
      <c r="O615" s="5">
        <v>14.274800000000001</v>
      </c>
      <c r="P615" s="5">
        <v>2847022.9511039997</v>
      </c>
      <c r="Q615" s="5">
        <v>58010.206559999999</v>
      </c>
      <c r="R615" s="5">
        <v>35232.187599999997</v>
      </c>
      <c r="S615" s="5">
        <v>38.607999999999997</v>
      </c>
      <c r="T615" s="5">
        <f t="shared" si="58"/>
        <v>1</v>
      </c>
      <c r="U615" s="5">
        <f t="shared" si="59"/>
        <v>1</v>
      </c>
      <c r="V615" s="5">
        <f t="shared" si="60"/>
        <v>1</v>
      </c>
      <c r="W615" s="5">
        <v>42.163999999999994</v>
      </c>
      <c r="X615" s="5">
        <v>0.95399999999999996</v>
      </c>
    </row>
    <row r="616" spans="1:24" x14ac:dyDescent="0.25">
      <c r="A616" s="5" t="s">
        <v>940</v>
      </c>
      <c r="B616" s="5">
        <v>14.881639399999999</v>
      </c>
      <c r="C616" s="5">
        <v>1909.6735999999999</v>
      </c>
      <c r="D616" s="6">
        <v>50.8</v>
      </c>
      <c r="E616" s="6">
        <v>76.199999999999989</v>
      </c>
      <c r="F616" s="5">
        <v>7.9501999999999997</v>
      </c>
      <c r="G616" s="5">
        <f t="shared" si="55"/>
        <v>1</v>
      </c>
      <c r="H616" s="6" t="str">
        <f t="shared" si="56"/>
        <v>SLBB</v>
      </c>
      <c r="I616" s="5">
        <v>12.9794</v>
      </c>
      <c r="J616" s="5">
        <f t="shared" si="57"/>
        <v>0</v>
      </c>
      <c r="K616" s="5">
        <v>0.247</v>
      </c>
      <c r="L616" s="5">
        <v>389176.38293600001</v>
      </c>
      <c r="M616" s="5">
        <v>1.1399999999999999</v>
      </c>
      <c r="N616" s="5">
        <v>0.628</v>
      </c>
      <c r="O616" s="5">
        <v>14.274800000000001</v>
      </c>
      <c r="P616" s="5">
        <v>3438071.5754559995</v>
      </c>
      <c r="Q616" s="5">
        <v>67186.962399999989</v>
      </c>
      <c r="R616" s="5">
        <v>40148.306799999998</v>
      </c>
      <c r="S616" s="5">
        <v>42.417999999999999</v>
      </c>
      <c r="T616" s="5">
        <f t="shared" si="58"/>
        <v>1</v>
      </c>
      <c r="U616" s="5">
        <f t="shared" si="59"/>
        <v>1</v>
      </c>
      <c r="V616" s="5">
        <f t="shared" si="60"/>
        <v>1</v>
      </c>
      <c r="W616" s="5">
        <v>45.72</v>
      </c>
      <c r="X616" s="5">
        <v>0.96099999999999997</v>
      </c>
    </row>
    <row r="617" spans="1:24" x14ac:dyDescent="0.25">
      <c r="A617" s="5" t="s">
        <v>941</v>
      </c>
      <c r="B617" s="5">
        <v>12.202944307999999</v>
      </c>
      <c r="C617" s="5">
        <v>1548.3839999999998</v>
      </c>
      <c r="D617" s="6">
        <v>50.8</v>
      </c>
      <c r="E617" s="6">
        <v>76.199999999999989</v>
      </c>
      <c r="F617" s="5">
        <v>6.35</v>
      </c>
      <c r="G617" s="5">
        <f t="shared" si="55"/>
        <v>1</v>
      </c>
      <c r="H617" s="6" t="str">
        <f t="shared" si="56"/>
        <v>SLBB</v>
      </c>
      <c r="I617" s="5">
        <v>12.3698</v>
      </c>
      <c r="J617" s="5">
        <f t="shared" si="57"/>
        <v>0</v>
      </c>
      <c r="K617" s="5">
        <v>0.2</v>
      </c>
      <c r="L617" s="5">
        <v>324244.28054239997</v>
      </c>
      <c r="M617" s="5">
        <v>0.92600000000000005</v>
      </c>
      <c r="N617" s="5">
        <v>0.51500000000000001</v>
      </c>
      <c r="O617" s="5">
        <v>14.452599999999999</v>
      </c>
      <c r="P617" s="5">
        <v>1873041.4151999997</v>
      </c>
      <c r="Q617" s="5">
        <v>38509.600399999996</v>
      </c>
      <c r="R617" s="5">
        <v>24580.595999999998</v>
      </c>
      <c r="S617" s="5">
        <v>34.798000000000002</v>
      </c>
      <c r="T617" s="5">
        <f t="shared" si="58"/>
        <v>1</v>
      </c>
      <c r="U617" s="5">
        <f t="shared" si="59"/>
        <v>1</v>
      </c>
      <c r="V617" s="5">
        <f t="shared" si="60"/>
        <v>1</v>
      </c>
      <c r="W617" s="5">
        <v>38.607999999999997</v>
      </c>
      <c r="X617" s="5">
        <v>0.94399999999999995</v>
      </c>
    </row>
    <row r="618" spans="1:24" x14ac:dyDescent="0.25">
      <c r="A618" s="5" t="s">
        <v>942</v>
      </c>
      <c r="B618" s="5">
        <v>12.202944307999999</v>
      </c>
      <c r="C618" s="5">
        <v>1548.3839999999998</v>
      </c>
      <c r="D618" s="6">
        <v>50.8</v>
      </c>
      <c r="E618" s="6">
        <v>76.199999999999989</v>
      </c>
      <c r="F618" s="5">
        <v>6.35</v>
      </c>
      <c r="G618" s="5">
        <f t="shared" si="55"/>
        <v>1</v>
      </c>
      <c r="H618" s="6" t="str">
        <f t="shared" si="56"/>
        <v>SLBB</v>
      </c>
      <c r="I618" s="5">
        <v>12.3698</v>
      </c>
      <c r="J618" s="5">
        <f t="shared" si="57"/>
        <v>0</v>
      </c>
      <c r="K618" s="5">
        <v>0.2</v>
      </c>
      <c r="L618" s="5">
        <v>324244.28054239997</v>
      </c>
      <c r="M618" s="5">
        <v>0.92600000000000005</v>
      </c>
      <c r="N618" s="5">
        <v>0.51500000000000001</v>
      </c>
      <c r="O618" s="5">
        <v>14.452599999999999</v>
      </c>
      <c r="P618" s="5">
        <v>2276785.8980319998</v>
      </c>
      <c r="Q618" s="5">
        <v>45883.77919999999</v>
      </c>
      <c r="R618" s="5">
        <v>28185.750079999998</v>
      </c>
      <c r="S618" s="5">
        <v>38.353999999999999</v>
      </c>
      <c r="T618" s="5">
        <f t="shared" si="58"/>
        <v>1</v>
      </c>
      <c r="U618" s="5">
        <f t="shared" si="59"/>
        <v>1</v>
      </c>
      <c r="V618" s="5">
        <f t="shared" si="60"/>
        <v>1</v>
      </c>
      <c r="W618" s="5">
        <v>41.91</v>
      </c>
      <c r="X618" s="5">
        <v>0.95199999999999996</v>
      </c>
    </row>
    <row r="619" spans="1:24" x14ac:dyDescent="0.25">
      <c r="A619" s="5" t="s">
        <v>943</v>
      </c>
      <c r="B619" s="5">
        <v>12.202944307999999</v>
      </c>
      <c r="C619" s="5">
        <v>1548.3839999999998</v>
      </c>
      <c r="D619" s="6">
        <v>50.8</v>
      </c>
      <c r="E619" s="6">
        <v>76.199999999999989</v>
      </c>
      <c r="F619" s="5">
        <v>6.35</v>
      </c>
      <c r="G619" s="5">
        <f t="shared" si="55"/>
        <v>1</v>
      </c>
      <c r="H619" s="6" t="str">
        <f t="shared" si="56"/>
        <v>SLBB</v>
      </c>
      <c r="I619" s="5">
        <v>12.3698</v>
      </c>
      <c r="J619" s="5">
        <f t="shared" si="57"/>
        <v>0</v>
      </c>
      <c r="K619" s="5">
        <v>0.2</v>
      </c>
      <c r="L619" s="5">
        <v>324244.28054239997</v>
      </c>
      <c r="M619" s="5">
        <v>0.92600000000000005</v>
      </c>
      <c r="N619" s="5">
        <v>0.51500000000000001</v>
      </c>
      <c r="O619" s="5">
        <v>14.452599999999999</v>
      </c>
      <c r="P619" s="5">
        <v>2751289.723216</v>
      </c>
      <c r="Q619" s="5">
        <v>53257.957999999999</v>
      </c>
      <c r="R619" s="5">
        <v>32118.645439999997</v>
      </c>
      <c r="S619" s="5">
        <v>42.163999999999994</v>
      </c>
      <c r="T619" s="5">
        <f t="shared" si="58"/>
        <v>1</v>
      </c>
      <c r="U619" s="5">
        <f t="shared" si="59"/>
        <v>1</v>
      </c>
      <c r="V619" s="5">
        <f t="shared" si="60"/>
        <v>1</v>
      </c>
      <c r="W619" s="5">
        <v>45.466000000000001</v>
      </c>
      <c r="X619" s="5">
        <v>0.95899999999999996</v>
      </c>
    </row>
    <row r="620" spans="1:24" x14ac:dyDescent="0.25">
      <c r="A620" s="5" t="s">
        <v>944</v>
      </c>
      <c r="B620" s="5">
        <v>9.137326591599999</v>
      </c>
      <c r="C620" s="5">
        <v>1180.6428000000001</v>
      </c>
      <c r="D620" s="6">
        <v>50.8</v>
      </c>
      <c r="E620" s="6">
        <v>76.199999999999989</v>
      </c>
      <c r="F620" s="5">
        <v>4.7751999999999999</v>
      </c>
      <c r="G620" s="5">
        <f t="shared" si="55"/>
        <v>1</v>
      </c>
      <c r="H620" s="6" t="str">
        <f t="shared" si="56"/>
        <v>SLBB</v>
      </c>
      <c r="I620" s="5">
        <v>11.7348</v>
      </c>
      <c r="J620" s="5">
        <f t="shared" si="57"/>
        <v>0</v>
      </c>
      <c r="K620" s="5">
        <v>0.153</v>
      </c>
      <c r="L620" s="5">
        <v>253901.16961599997</v>
      </c>
      <c r="M620" s="5">
        <v>0.70299999999999996</v>
      </c>
      <c r="N620" s="5">
        <v>0.39600000000000002</v>
      </c>
      <c r="O620" s="5">
        <v>14.655799999999997</v>
      </c>
      <c r="P620" s="5">
        <v>1390212.9615039998</v>
      </c>
      <c r="Q620" s="5">
        <v>28677.361999999997</v>
      </c>
      <c r="R620" s="5">
        <v>18189.641039999999</v>
      </c>
      <c r="S620" s="5">
        <v>34.29</v>
      </c>
      <c r="T620" s="5">
        <f t="shared" si="58"/>
        <v>1</v>
      </c>
      <c r="U620" s="5">
        <f t="shared" si="59"/>
        <v>1</v>
      </c>
      <c r="V620" s="5">
        <f t="shared" si="60"/>
        <v>1</v>
      </c>
      <c r="W620" s="5">
        <v>38.607999999999997</v>
      </c>
      <c r="X620" s="5">
        <v>0.94099999999999995</v>
      </c>
    </row>
    <row r="621" spans="1:24" x14ac:dyDescent="0.25">
      <c r="A621" s="5" t="s">
        <v>945</v>
      </c>
      <c r="B621" s="5">
        <v>9.137326591599999</v>
      </c>
      <c r="C621" s="5">
        <v>1180.6428000000001</v>
      </c>
      <c r="D621" s="6">
        <v>50.8</v>
      </c>
      <c r="E621" s="6">
        <v>76.199999999999989</v>
      </c>
      <c r="F621" s="5">
        <v>4.7751999999999999</v>
      </c>
      <c r="G621" s="5">
        <f t="shared" si="55"/>
        <v>1</v>
      </c>
      <c r="H621" s="6" t="str">
        <f t="shared" si="56"/>
        <v>SLBB</v>
      </c>
      <c r="I621" s="5">
        <v>11.7348</v>
      </c>
      <c r="J621" s="5">
        <f t="shared" si="57"/>
        <v>0</v>
      </c>
      <c r="K621" s="5">
        <v>0.153</v>
      </c>
      <c r="L621" s="5">
        <v>253901.16961599997</v>
      </c>
      <c r="M621" s="5">
        <v>0.70299999999999996</v>
      </c>
      <c r="N621" s="5">
        <v>0.39600000000000002</v>
      </c>
      <c r="O621" s="5">
        <v>14.655799999999997</v>
      </c>
      <c r="P621" s="5">
        <v>1689899.5879359997</v>
      </c>
      <c r="Q621" s="5">
        <v>34248.963759999991</v>
      </c>
      <c r="R621" s="5">
        <v>20811.57128</v>
      </c>
      <c r="S621" s="5">
        <v>37.845999999999997</v>
      </c>
      <c r="T621" s="5">
        <f t="shared" si="58"/>
        <v>1</v>
      </c>
      <c r="U621" s="5">
        <f t="shared" si="59"/>
        <v>1</v>
      </c>
      <c r="V621" s="5">
        <f t="shared" si="60"/>
        <v>1</v>
      </c>
      <c r="W621" s="5">
        <v>41.655999999999992</v>
      </c>
      <c r="X621" s="5">
        <v>0.95</v>
      </c>
    </row>
    <row r="622" spans="1:24" x14ac:dyDescent="0.25">
      <c r="A622" s="5" t="s">
        <v>946</v>
      </c>
      <c r="B622" s="5">
        <v>9.137326591599999</v>
      </c>
      <c r="C622" s="5">
        <v>1180.6428000000001</v>
      </c>
      <c r="D622" s="6">
        <v>50.8</v>
      </c>
      <c r="E622" s="6">
        <v>76.199999999999989</v>
      </c>
      <c r="F622" s="5">
        <v>4.7751999999999999</v>
      </c>
      <c r="G622" s="5">
        <f t="shared" si="55"/>
        <v>1</v>
      </c>
      <c r="H622" s="6" t="str">
        <f t="shared" si="56"/>
        <v>SLBB</v>
      </c>
      <c r="I622" s="5">
        <v>11.7348</v>
      </c>
      <c r="J622" s="5">
        <f t="shared" si="57"/>
        <v>0</v>
      </c>
      <c r="K622" s="5">
        <v>0.153</v>
      </c>
      <c r="L622" s="5">
        <v>253901.16961599997</v>
      </c>
      <c r="M622" s="5">
        <v>0.70299999999999996</v>
      </c>
      <c r="N622" s="5">
        <v>0.39600000000000002</v>
      </c>
      <c r="O622" s="5">
        <v>14.655799999999997</v>
      </c>
      <c r="P622" s="5">
        <v>2047858.6139519997</v>
      </c>
      <c r="Q622" s="5">
        <v>39820.565519999996</v>
      </c>
      <c r="R622" s="5">
        <v>23925.113439999997</v>
      </c>
      <c r="S622" s="5">
        <v>41.655999999999992</v>
      </c>
      <c r="T622" s="5">
        <f t="shared" si="58"/>
        <v>1</v>
      </c>
      <c r="U622" s="5">
        <f t="shared" si="59"/>
        <v>1</v>
      </c>
      <c r="V622" s="5">
        <f t="shared" si="60"/>
        <v>1</v>
      </c>
      <c r="W622" s="5">
        <v>45.211999999999996</v>
      </c>
      <c r="X622" s="5">
        <v>0.95699999999999996</v>
      </c>
    </row>
    <row r="623" spans="1:24" x14ac:dyDescent="0.25">
      <c r="A623" s="5" t="s">
        <v>947</v>
      </c>
      <c r="B623" s="5">
        <v>15.774537764</v>
      </c>
      <c r="C623" s="5">
        <v>1999.9959999999999</v>
      </c>
      <c r="D623" s="6">
        <v>50.8</v>
      </c>
      <c r="E623" s="6">
        <v>63.5</v>
      </c>
      <c r="F623" s="5">
        <v>9.5249999999999986</v>
      </c>
      <c r="G623" s="5">
        <f t="shared" si="55"/>
        <v>1</v>
      </c>
      <c r="H623" s="6" t="str">
        <f t="shared" si="56"/>
        <v>SLBB</v>
      </c>
      <c r="I623" s="5">
        <v>14.681199999999999</v>
      </c>
      <c r="J623" s="5">
        <f t="shared" si="57"/>
        <v>0</v>
      </c>
      <c r="K623" s="5">
        <v>0.31</v>
      </c>
      <c r="L623" s="5">
        <v>428718.36836799997</v>
      </c>
      <c r="M623" s="5">
        <v>1.31</v>
      </c>
      <c r="N623" s="5">
        <v>0.72199999999999998</v>
      </c>
      <c r="O623" s="5">
        <v>14.579599999999997</v>
      </c>
      <c r="P623" s="5">
        <v>1648276.4453759999</v>
      </c>
      <c r="Q623" s="5">
        <v>41950.883839999995</v>
      </c>
      <c r="R623" s="5">
        <v>25891.561119999998</v>
      </c>
      <c r="S623" s="5">
        <v>28.701999999999995</v>
      </c>
      <c r="T623" s="5">
        <f t="shared" si="58"/>
        <v>1</v>
      </c>
      <c r="U623" s="5">
        <f t="shared" si="59"/>
        <v>1</v>
      </c>
      <c r="V623" s="5">
        <f t="shared" si="60"/>
        <v>1</v>
      </c>
      <c r="W623" s="5">
        <v>33.527999999999999</v>
      </c>
      <c r="X623" s="5">
        <v>0.91300000000000003</v>
      </c>
    </row>
    <row r="624" spans="1:24" x14ac:dyDescent="0.25">
      <c r="A624" s="5" t="s">
        <v>948</v>
      </c>
      <c r="B624" s="5">
        <v>15.774537764</v>
      </c>
      <c r="C624" s="5">
        <v>1999.9959999999999</v>
      </c>
      <c r="D624" s="6">
        <v>50.8</v>
      </c>
      <c r="E624" s="6">
        <v>63.5</v>
      </c>
      <c r="F624" s="5">
        <v>9.5249999999999986</v>
      </c>
      <c r="G624" s="5">
        <f t="shared" si="55"/>
        <v>1</v>
      </c>
      <c r="H624" s="6" t="str">
        <f t="shared" si="56"/>
        <v>SLBB</v>
      </c>
      <c r="I624" s="5">
        <v>14.681199999999999</v>
      </c>
      <c r="J624" s="5">
        <f t="shared" si="57"/>
        <v>0</v>
      </c>
      <c r="K624" s="5">
        <v>0.31</v>
      </c>
      <c r="L624" s="5">
        <v>428718.36836799997</v>
      </c>
      <c r="M624" s="5">
        <v>1.31</v>
      </c>
      <c r="N624" s="5">
        <v>0.72199999999999998</v>
      </c>
      <c r="O624" s="5">
        <v>14.579599999999997</v>
      </c>
      <c r="P624" s="5">
        <v>2081157.1279999998</v>
      </c>
      <c r="Q624" s="5">
        <v>51455.380959999995</v>
      </c>
      <c r="R624" s="5">
        <v>30479.939039999997</v>
      </c>
      <c r="S624" s="5">
        <v>32.257999999999996</v>
      </c>
      <c r="T624" s="5">
        <f t="shared" si="58"/>
        <v>1</v>
      </c>
      <c r="U624" s="5">
        <f t="shared" si="59"/>
        <v>1</v>
      </c>
      <c r="V624" s="5">
        <f t="shared" si="60"/>
        <v>1</v>
      </c>
      <c r="W624" s="5">
        <v>36.83</v>
      </c>
      <c r="X624" s="5">
        <v>0.92700000000000005</v>
      </c>
    </row>
    <row r="625" spans="1:24" x14ac:dyDescent="0.25">
      <c r="A625" s="5" t="s">
        <v>949</v>
      </c>
      <c r="B625" s="5">
        <v>15.774537764</v>
      </c>
      <c r="C625" s="5">
        <v>1999.9959999999999</v>
      </c>
      <c r="D625" s="6">
        <v>50.8</v>
      </c>
      <c r="E625" s="6">
        <v>63.5</v>
      </c>
      <c r="F625" s="5">
        <v>9.5249999999999986</v>
      </c>
      <c r="G625" s="5">
        <f t="shared" si="55"/>
        <v>1</v>
      </c>
      <c r="H625" s="6" t="str">
        <f t="shared" si="56"/>
        <v>SLBB</v>
      </c>
      <c r="I625" s="5">
        <v>14.681199999999999</v>
      </c>
      <c r="J625" s="5">
        <f t="shared" si="57"/>
        <v>0</v>
      </c>
      <c r="K625" s="5">
        <v>0.31</v>
      </c>
      <c r="L625" s="5">
        <v>428718.36836799997</v>
      </c>
      <c r="M625" s="5">
        <v>1.31</v>
      </c>
      <c r="N625" s="5">
        <v>0.72199999999999998</v>
      </c>
      <c r="O625" s="5">
        <v>14.579599999999997</v>
      </c>
      <c r="P625" s="5">
        <v>2601446.4099999997</v>
      </c>
      <c r="Q625" s="5">
        <v>60959.878079999995</v>
      </c>
      <c r="R625" s="5">
        <v>35559.928879999992</v>
      </c>
      <c r="S625" s="5">
        <v>36.067999999999998</v>
      </c>
      <c r="T625" s="5">
        <f t="shared" si="58"/>
        <v>1</v>
      </c>
      <c r="U625" s="5">
        <f t="shared" si="59"/>
        <v>1</v>
      </c>
      <c r="V625" s="5">
        <f t="shared" si="60"/>
        <v>1</v>
      </c>
      <c r="W625" s="5">
        <v>40.386000000000003</v>
      </c>
      <c r="X625" s="5">
        <v>0.93899999999999995</v>
      </c>
    </row>
    <row r="626" spans="1:24" x14ac:dyDescent="0.25">
      <c r="A626" s="5" t="s">
        <v>950</v>
      </c>
      <c r="B626" s="5">
        <v>13.393475459999999</v>
      </c>
      <c r="C626" s="5">
        <v>1703.2224000000001</v>
      </c>
      <c r="D626" s="6">
        <v>50.8</v>
      </c>
      <c r="E626" s="6">
        <v>63.5</v>
      </c>
      <c r="F626" s="5">
        <v>7.9501999999999997</v>
      </c>
      <c r="G626" s="5">
        <f t="shared" si="55"/>
        <v>1</v>
      </c>
      <c r="H626" s="6" t="str">
        <f t="shared" si="56"/>
        <v>SLBB</v>
      </c>
      <c r="I626" s="5">
        <v>14.097000000000001</v>
      </c>
      <c r="J626" s="5">
        <f t="shared" si="57"/>
        <v>0</v>
      </c>
      <c r="K626" s="5">
        <v>0.26400000000000001</v>
      </c>
      <c r="L626" s="5">
        <v>370862.20020959998</v>
      </c>
      <c r="M626" s="5">
        <v>1.1100000000000001</v>
      </c>
      <c r="N626" s="5">
        <v>0.61699999999999999</v>
      </c>
      <c r="O626" s="5">
        <v>14.757399999999999</v>
      </c>
      <c r="P626" s="5">
        <v>1377726.0187359999</v>
      </c>
      <c r="Q626" s="5">
        <v>34740.575680000002</v>
      </c>
      <c r="R626" s="5">
        <v>21630.924479999998</v>
      </c>
      <c r="S626" s="5">
        <v>28.448</v>
      </c>
      <c r="T626" s="5">
        <f t="shared" si="58"/>
        <v>1</v>
      </c>
      <c r="U626" s="5">
        <f t="shared" si="59"/>
        <v>1</v>
      </c>
      <c r="V626" s="5">
        <f t="shared" si="60"/>
        <v>1</v>
      </c>
      <c r="W626" s="5">
        <v>33.527999999999999</v>
      </c>
      <c r="X626" s="5">
        <v>0.90900000000000003</v>
      </c>
    </row>
    <row r="627" spans="1:24" x14ac:dyDescent="0.25">
      <c r="A627" s="5" t="s">
        <v>951</v>
      </c>
      <c r="B627" s="5">
        <v>13.393475459999999</v>
      </c>
      <c r="C627" s="5">
        <v>1703.2224000000001</v>
      </c>
      <c r="D627" s="6">
        <v>50.8</v>
      </c>
      <c r="E627" s="6">
        <v>63.5</v>
      </c>
      <c r="F627" s="5">
        <v>7.9501999999999997</v>
      </c>
      <c r="G627" s="5">
        <f t="shared" si="55"/>
        <v>1</v>
      </c>
      <c r="H627" s="6" t="str">
        <f t="shared" si="56"/>
        <v>SLBB</v>
      </c>
      <c r="I627" s="5">
        <v>14.097000000000001</v>
      </c>
      <c r="J627" s="5">
        <f t="shared" si="57"/>
        <v>0</v>
      </c>
      <c r="K627" s="5">
        <v>0.26400000000000001</v>
      </c>
      <c r="L627" s="5">
        <v>370862.20020959998</v>
      </c>
      <c r="M627" s="5">
        <v>1.1100000000000001</v>
      </c>
      <c r="N627" s="5">
        <v>0.61699999999999999</v>
      </c>
      <c r="O627" s="5">
        <v>14.757399999999999</v>
      </c>
      <c r="P627" s="5">
        <v>1744009.6732640001</v>
      </c>
      <c r="Q627" s="5">
        <v>42770.237039999993</v>
      </c>
      <c r="R627" s="5">
        <v>25563.81984</v>
      </c>
      <c r="S627" s="5">
        <v>32.003999999999998</v>
      </c>
      <c r="T627" s="5">
        <f t="shared" si="58"/>
        <v>1</v>
      </c>
      <c r="U627" s="5">
        <f t="shared" si="59"/>
        <v>1</v>
      </c>
      <c r="V627" s="5">
        <f t="shared" si="60"/>
        <v>1</v>
      </c>
      <c r="W627" s="5">
        <v>36.575999999999993</v>
      </c>
      <c r="X627" s="5">
        <v>0.92300000000000004</v>
      </c>
    </row>
    <row r="628" spans="1:24" x14ac:dyDescent="0.25">
      <c r="A628" s="5" t="s">
        <v>952</v>
      </c>
      <c r="B628" s="5">
        <v>13.393475459999999</v>
      </c>
      <c r="C628" s="5">
        <v>1703.2224000000001</v>
      </c>
      <c r="D628" s="6">
        <v>50.8</v>
      </c>
      <c r="E628" s="6">
        <v>63.5</v>
      </c>
      <c r="F628" s="5">
        <v>7.9501999999999997</v>
      </c>
      <c r="G628" s="5">
        <f t="shared" si="55"/>
        <v>1</v>
      </c>
      <c r="H628" s="6" t="str">
        <f t="shared" si="56"/>
        <v>SLBB</v>
      </c>
      <c r="I628" s="5">
        <v>14.097000000000001</v>
      </c>
      <c r="J628" s="5">
        <f t="shared" si="57"/>
        <v>0</v>
      </c>
      <c r="K628" s="5">
        <v>0.26400000000000001</v>
      </c>
      <c r="L628" s="5">
        <v>370862.20020959998</v>
      </c>
      <c r="M628" s="5">
        <v>1.1100000000000001</v>
      </c>
      <c r="N628" s="5">
        <v>0.61699999999999999</v>
      </c>
      <c r="O628" s="5">
        <v>14.757399999999999</v>
      </c>
      <c r="P628" s="5">
        <v>2185214.9844</v>
      </c>
      <c r="Q628" s="5">
        <v>50963.769039999992</v>
      </c>
      <c r="R628" s="5">
        <v>29988.327119999998</v>
      </c>
      <c r="S628" s="5">
        <v>35.813999999999993</v>
      </c>
      <c r="T628" s="5">
        <f t="shared" si="58"/>
        <v>1</v>
      </c>
      <c r="U628" s="5">
        <f t="shared" si="59"/>
        <v>1</v>
      </c>
      <c r="V628" s="5">
        <f t="shared" si="60"/>
        <v>1</v>
      </c>
      <c r="W628" s="5">
        <v>40.131999999999998</v>
      </c>
      <c r="X628" s="5">
        <v>0.93600000000000005</v>
      </c>
    </row>
    <row r="629" spans="1:24" x14ac:dyDescent="0.25">
      <c r="A629" s="5" t="s">
        <v>953</v>
      </c>
      <c r="B629" s="5">
        <v>10.774306925599999</v>
      </c>
      <c r="C629" s="5">
        <v>1380.6424</v>
      </c>
      <c r="D629" s="6">
        <v>50.8</v>
      </c>
      <c r="E629" s="6">
        <v>63.5</v>
      </c>
      <c r="F629" s="5">
        <v>6.35</v>
      </c>
      <c r="G629" s="5">
        <f t="shared" si="55"/>
        <v>1</v>
      </c>
      <c r="H629" s="6" t="str">
        <f t="shared" si="56"/>
        <v>SLBB</v>
      </c>
      <c r="I629" s="5">
        <v>13.5128</v>
      </c>
      <c r="J629" s="5">
        <f t="shared" si="57"/>
        <v>0</v>
      </c>
      <c r="K629" s="5">
        <v>0.214</v>
      </c>
      <c r="L629" s="5">
        <v>309676.18064639997</v>
      </c>
      <c r="M629" s="5">
        <v>0.90900000000000003</v>
      </c>
      <c r="N629" s="5">
        <v>0.50700000000000001</v>
      </c>
      <c r="O629" s="5">
        <v>14.960599999999998</v>
      </c>
      <c r="P629" s="5">
        <v>1078039.3923039997</v>
      </c>
      <c r="Q629" s="5">
        <v>27366.396879999997</v>
      </c>
      <c r="R629" s="5">
        <v>17042.546559999999</v>
      </c>
      <c r="S629" s="5">
        <v>27.94</v>
      </c>
      <c r="T629" s="5">
        <f t="shared" si="58"/>
        <v>1</v>
      </c>
      <c r="U629" s="5">
        <f t="shared" si="59"/>
        <v>1</v>
      </c>
      <c r="V629" s="5">
        <f t="shared" si="60"/>
        <v>1</v>
      </c>
      <c r="W629" s="5">
        <v>33.527999999999999</v>
      </c>
      <c r="X629" s="5">
        <v>0.90400000000000003</v>
      </c>
    </row>
    <row r="630" spans="1:24" x14ac:dyDescent="0.25">
      <c r="A630" s="5" t="s">
        <v>954</v>
      </c>
      <c r="B630" s="5">
        <v>10.774306925599999</v>
      </c>
      <c r="C630" s="5">
        <v>1380.6424</v>
      </c>
      <c r="D630" s="6">
        <v>50.8</v>
      </c>
      <c r="E630" s="6">
        <v>63.5</v>
      </c>
      <c r="F630" s="5">
        <v>6.35</v>
      </c>
      <c r="G630" s="5">
        <f t="shared" si="55"/>
        <v>1</v>
      </c>
      <c r="H630" s="6" t="str">
        <f t="shared" si="56"/>
        <v>SLBB</v>
      </c>
      <c r="I630" s="5">
        <v>13.5128</v>
      </c>
      <c r="J630" s="5">
        <f t="shared" si="57"/>
        <v>0</v>
      </c>
      <c r="K630" s="5">
        <v>0.214</v>
      </c>
      <c r="L630" s="5">
        <v>309676.18064639997</v>
      </c>
      <c r="M630" s="5">
        <v>0.90900000000000003</v>
      </c>
      <c r="N630" s="5">
        <v>0.50700000000000001</v>
      </c>
      <c r="O630" s="5">
        <v>14.960599999999998</v>
      </c>
      <c r="P630" s="5">
        <v>1369401.390224</v>
      </c>
      <c r="Q630" s="5">
        <v>33921.222479999997</v>
      </c>
      <c r="R630" s="5">
        <v>19992.218079999999</v>
      </c>
      <c r="S630" s="5">
        <v>31.495999999999999</v>
      </c>
      <c r="T630" s="5">
        <f t="shared" si="58"/>
        <v>1</v>
      </c>
      <c r="U630" s="5">
        <f t="shared" si="59"/>
        <v>1</v>
      </c>
      <c r="V630" s="5">
        <f t="shared" si="60"/>
        <v>1</v>
      </c>
      <c r="W630" s="5">
        <v>36.321999999999996</v>
      </c>
      <c r="X630" s="5">
        <v>0.92</v>
      </c>
    </row>
    <row r="631" spans="1:24" x14ac:dyDescent="0.25">
      <c r="A631" s="5" t="s">
        <v>955</v>
      </c>
      <c r="B631" s="5">
        <v>10.774306925599999</v>
      </c>
      <c r="C631" s="5">
        <v>1380.6424</v>
      </c>
      <c r="D631" s="6">
        <v>50.8</v>
      </c>
      <c r="E631" s="6">
        <v>63.5</v>
      </c>
      <c r="F631" s="5">
        <v>6.35</v>
      </c>
      <c r="G631" s="5">
        <f t="shared" si="55"/>
        <v>1</v>
      </c>
      <c r="H631" s="6" t="str">
        <f t="shared" si="56"/>
        <v>SLBB</v>
      </c>
      <c r="I631" s="5">
        <v>13.5128</v>
      </c>
      <c r="J631" s="5">
        <f t="shared" si="57"/>
        <v>0</v>
      </c>
      <c r="K631" s="5">
        <v>0.214</v>
      </c>
      <c r="L631" s="5">
        <v>309676.18064639997</v>
      </c>
      <c r="M631" s="5">
        <v>0.90900000000000003</v>
      </c>
      <c r="N631" s="5">
        <v>0.50700000000000001</v>
      </c>
      <c r="O631" s="5">
        <v>14.960599999999998</v>
      </c>
      <c r="P631" s="5">
        <v>1719035.7877279997</v>
      </c>
      <c r="Q631" s="5">
        <v>40476.04808</v>
      </c>
      <c r="R631" s="5">
        <v>23597.372159999995</v>
      </c>
      <c r="S631" s="5">
        <v>35.305999999999997</v>
      </c>
      <c r="T631" s="5">
        <f t="shared" si="58"/>
        <v>1</v>
      </c>
      <c r="U631" s="5">
        <f t="shared" si="59"/>
        <v>1</v>
      </c>
      <c r="V631" s="5">
        <f t="shared" si="60"/>
        <v>1</v>
      </c>
      <c r="W631" s="5">
        <v>39.878</v>
      </c>
      <c r="X631" s="5">
        <v>0.93300000000000005</v>
      </c>
    </row>
    <row r="632" spans="1:24" x14ac:dyDescent="0.25">
      <c r="A632" s="5" t="s">
        <v>956</v>
      </c>
      <c r="B632" s="5">
        <v>8.1849016700000004</v>
      </c>
      <c r="C632" s="5">
        <v>1058.0623999999998</v>
      </c>
      <c r="D632" s="6">
        <v>50.8</v>
      </c>
      <c r="E632" s="6">
        <v>63.5</v>
      </c>
      <c r="F632" s="5">
        <v>4.7751999999999999</v>
      </c>
      <c r="G632" s="5">
        <f t="shared" si="55"/>
        <v>1</v>
      </c>
      <c r="H632" s="6" t="str">
        <f t="shared" si="56"/>
        <v>SLBB</v>
      </c>
      <c r="I632" s="5">
        <v>12.9032</v>
      </c>
      <c r="J632" s="5">
        <f t="shared" si="57"/>
        <v>0</v>
      </c>
      <c r="K632" s="5">
        <v>0.16400000000000001</v>
      </c>
      <c r="L632" s="5">
        <v>242662.92112479996</v>
      </c>
      <c r="M632" s="5">
        <v>0.69499999999999995</v>
      </c>
      <c r="N632" s="5">
        <v>0.39100000000000001</v>
      </c>
      <c r="O632" s="5">
        <v>15.163799999999998</v>
      </c>
      <c r="P632" s="5">
        <v>811651.27991999988</v>
      </c>
      <c r="Q632" s="5">
        <v>20156.088719999996</v>
      </c>
      <c r="R632" s="5">
        <v>12781.90992</v>
      </c>
      <c r="S632" s="5">
        <v>27.686</v>
      </c>
      <c r="T632" s="5">
        <f t="shared" si="58"/>
        <v>1</v>
      </c>
      <c r="U632" s="5">
        <f t="shared" si="59"/>
        <v>1</v>
      </c>
      <c r="V632" s="5">
        <f t="shared" si="60"/>
        <v>1</v>
      </c>
      <c r="W632" s="5">
        <v>33.274000000000001</v>
      </c>
      <c r="X632" s="5">
        <v>0.90100000000000002</v>
      </c>
    </row>
    <row r="633" spans="1:24" x14ac:dyDescent="0.25">
      <c r="A633" s="5" t="s">
        <v>957</v>
      </c>
      <c r="B633" s="5">
        <v>8.1849016700000004</v>
      </c>
      <c r="C633" s="5">
        <v>1058.0623999999998</v>
      </c>
      <c r="D633" s="6">
        <v>50.8</v>
      </c>
      <c r="E633" s="6">
        <v>63.5</v>
      </c>
      <c r="F633" s="5">
        <v>4.7751999999999999</v>
      </c>
      <c r="G633" s="5">
        <f t="shared" si="55"/>
        <v>1</v>
      </c>
      <c r="H633" s="6" t="str">
        <f t="shared" si="56"/>
        <v>SLBB</v>
      </c>
      <c r="I633" s="5">
        <v>12.9032</v>
      </c>
      <c r="J633" s="5">
        <f t="shared" si="57"/>
        <v>0</v>
      </c>
      <c r="K633" s="5">
        <v>0.16400000000000001</v>
      </c>
      <c r="L633" s="5">
        <v>242662.92112479996</v>
      </c>
      <c r="M633" s="5">
        <v>0.69499999999999995</v>
      </c>
      <c r="N633" s="5">
        <v>0.39100000000000001</v>
      </c>
      <c r="O633" s="5">
        <v>15.163799999999998</v>
      </c>
      <c r="P633" s="5">
        <v>1032253.9354879999</v>
      </c>
      <c r="Q633" s="5">
        <v>25236.078559999998</v>
      </c>
      <c r="R633" s="5">
        <v>15125.260071999999</v>
      </c>
      <c r="S633" s="5">
        <v>31.241999999999997</v>
      </c>
      <c r="T633" s="5">
        <f t="shared" si="58"/>
        <v>1</v>
      </c>
      <c r="U633" s="5">
        <f t="shared" si="59"/>
        <v>1</v>
      </c>
      <c r="V633" s="5">
        <f t="shared" si="60"/>
        <v>1</v>
      </c>
      <c r="W633" s="5">
        <v>36.321999999999996</v>
      </c>
      <c r="X633" s="5">
        <v>0.91600000000000004</v>
      </c>
    </row>
    <row r="634" spans="1:24" x14ac:dyDescent="0.25">
      <c r="A634" s="5" t="s">
        <v>958</v>
      </c>
      <c r="B634" s="5">
        <v>8.1849016700000004</v>
      </c>
      <c r="C634" s="5">
        <v>1058.0623999999998</v>
      </c>
      <c r="D634" s="6">
        <v>50.8</v>
      </c>
      <c r="E634" s="6">
        <v>63.5</v>
      </c>
      <c r="F634" s="5">
        <v>4.7751999999999999</v>
      </c>
      <c r="G634" s="5">
        <f t="shared" si="55"/>
        <v>1</v>
      </c>
      <c r="H634" s="6" t="str">
        <f t="shared" si="56"/>
        <v>SLBB</v>
      </c>
      <c r="I634" s="5">
        <v>12.9032</v>
      </c>
      <c r="J634" s="5">
        <f t="shared" si="57"/>
        <v>0</v>
      </c>
      <c r="K634" s="5">
        <v>0.16400000000000001</v>
      </c>
      <c r="L634" s="5">
        <v>242662.92112479996</v>
      </c>
      <c r="M634" s="5">
        <v>0.69499999999999995</v>
      </c>
      <c r="N634" s="5">
        <v>0.39100000000000001</v>
      </c>
      <c r="O634" s="5">
        <v>15.163799999999998</v>
      </c>
      <c r="P634" s="5">
        <v>1298642.0478719999</v>
      </c>
      <c r="Q634" s="5">
        <v>30316.0684</v>
      </c>
      <c r="R634" s="5">
        <v>17861.89976</v>
      </c>
      <c r="S634" s="5">
        <v>35.051999999999992</v>
      </c>
      <c r="T634" s="5">
        <f t="shared" si="58"/>
        <v>1</v>
      </c>
      <c r="U634" s="5">
        <f t="shared" si="59"/>
        <v>1</v>
      </c>
      <c r="V634" s="5">
        <f t="shared" si="60"/>
        <v>1</v>
      </c>
      <c r="W634" s="5">
        <v>39.624000000000002</v>
      </c>
      <c r="X634" s="5">
        <v>0.92900000000000005</v>
      </c>
    </row>
    <row r="635" spans="1:24" x14ac:dyDescent="0.25">
      <c r="A635" s="5" t="s">
        <v>959</v>
      </c>
      <c r="B635" s="5">
        <v>9.4944859372000003</v>
      </c>
      <c r="C635" s="5">
        <v>1219.3524</v>
      </c>
      <c r="D635" s="6">
        <v>38.099999999999994</v>
      </c>
      <c r="E635" s="6">
        <v>63.5</v>
      </c>
      <c r="F635" s="5">
        <v>6.35</v>
      </c>
      <c r="G635" s="5">
        <f t="shared" si="55"/>
        <v>1</v>
      </c>
      <c r="H635" s="6" t="str">
        <f t="shared" si="56"/>
        <v>SLBB</v>
      </c>
      <c r="I635" s="5">
        <v>9.4487999999999985</v>
      </c>
      <c r="J635" s="5">
        <f t="shared" si="57"/>
        <v>0</v>
      </c>
      <c r="K635" s="5">
        <v>0.189</v>
      </c>
      <c r="L635" s="5">
        <v>131529.13048959998</v>
      </c>
      <c r="M635" s="5">
        <v>0.52200000000000002</v>
      </c>
      <c r="N635" s="5">
        <v>0.28000000000000003</v>
      </c>
      <c r="O635" s="5">
        <v>10.388599999999999</v>
      </c>
      <c r="P635" s="5">
        <v>1078039.3923039997</v>
      </c>
      <c r="Q635" s="5">
        <v>26874.784959999997</v>
      </c>
      <c r="R635" s="5">
        <v>17042.546559999999</v>
      </c>
      <c r="S635" s="5">
        <v>29.717999999999996</v>
      </c>
      <c r="T635" s="5">
        <f t="shared" si="58"/>
        <v>1</v>
      </c>
      <c r="U635" s="5">
        <f t="shared" si="59"/>
        <v>1</v>
      </c>
      <c r="V635" s="5">
        <f t="shared" si="60"/>
        <v>1</v>
      </c>
      <c r="W635" s="5">
        <v>32.105599999999995</v>
      </c>
      <c r="X635" s="5">
        <v>0.96199999999999997</v>
      </c>
    </row>
    <row r="636" spans="1:24" x14ac:dyDescent="0.25">
      <c r="A636" s="5" t="s">
        <v>960</v>
      </c>
      <c r="B636" s="5">
        <v>9.4944859372000003</v>
      </c>
      <c r="C636" s="5">
        <v>1219.3524</v>
      </c>
      <c r="D636" s="6">
        <v>38.099999999999994</v>
      </c>
      <c r="E636" s="6">
        <v>63.5</v>
      </c>
      <c r="F636" s="5">
        <v>6.35</v>
      </c>
      <c r="G636" s="5">
        <f t="shared" si="55"/>
        <v>1</v>
      </c>
      <c r="H636" s="6" t="str">
        <f t="shared" si="56"/>
        <v>SLBB</v>
      </c>
      <c r="I636" s="5">
        <v>9.4487999999999985</v>
      </c>
      <c r="J636" s="5">
        <f t="shared" si="57"/>
        <v>0</v>
      </c>
      <c r="K636" s="5">
        <v>0.189</v>
      </c>
      <c r="L636" s="5">
        <v>131529.13048959998</v>
      </c>
      <c r="M636" s="5">
        <v>0.52200000000000002</v>
      </c>
      <c r="N636" s="5">
        <v>0.28000000000000003</v>
      </c>
      <c r="O636" s="5">
        <v>10.388599999999999</v>
      </c>
      <c r="P636" s="5">
        <v>1369401.390224</v>
      </c>
      <c r="Q636" s="5">
        <v>32774.127999999997</v>
      </c>
      <c r="R636" s="5">
        <v>19992.218079999999</v>
      </c>
      <c r="S636" s="5">
        <v>33.527999999999999</v>
      </c>
      <c r="T636" s="5">
        <f t="shared" si="58"/>
        <v>1</v>
      </c>
      <c r="U636" s="5">
        <f t="shared" si="59"/>
        <v>1</v>
      </c>
      <c r="V636" s="5">
        <f t="shared" si="60"/>
        <v>1</v>
      </c>
      <c r="W636" s="5">
        <v>35.534599999999998</v>
      </c>
      <c r="X636" s="5">
        <v>0.96899999999999997</v>
      </c>
    </row>
    <row r="637" spans="1:24" x14ac:dyDescent="0.25">
      <c r="A637" s="5" t="s">
        <v>961</v>
      </c>
      <c r="B637" s="5">
        <v>9.4944859372000003</v>
      </c>
      <c r="C637" s="5">
        <v>1219.3524</v>
      </c>
      <c r="D637" s="6">
        <v>38.099999999999994</v>
      </c>
      <c r="E637" s="6">
        <v>63.5</v>
      </c>
      <c r="F637" s="5">
        <v>6.35</v>
      </c>
      <c r="G637" s="5">
        <f t="shared" si="55"/>
        <v>1</v>
      </c>
      <c r="H637" s="6" t="str">
        <f t="shared" si="56"/>
        <v>SLBB</v>
      </c>
      <c r="I637" s="5">
        <v>9.4487999999999985</v>
      </c>
      <c r="J637" s="5">
        <f t="shared" si="57"/>
        <v>0</v>
      </c>
      <c r="K637" s="5">
        <v>0.189</v>
      </c>
      <c r="L637" s="5">
        <v>131529.13048959998</v>
      </c>
      <c r="M637" s="5">
        <v>0.52200000000000002</v>
      </c>
      <c r="N637" s="5">
        <v>0.28000000000000003</v>
      </c>
      <c r="O637" s="5">
        <v>10.388599999999999</v>
      </c>
      <c r="P637" s="5">
        <v>1698224.2164479999</v>
      </c>
      <c r="Q637" s="5">
        <v>38509.600399999996</v>
      </c>
      <c r="R637" s="5">
        <v>23269.630879999997</v>
      </c>
      <c r="S637" s="5">
        <v>37.337999999999994</v>
      </c>
      <c r="T637" s="5">
        <f t="shared" si="58"/>
        <v>1</v>
      </c>
      <c r="U637" s="5">
        <f t="shared" si="59"/>
        <v>1</v>
      </c>
      <c r="V637" s="5">
        <f t="shared" si="60"/>
        <v>1</v>
      </c>
      <c r="W637" s="5">
        <v>39.242999999999995</v>
      </c>
      <c r="X637" s="5">
        <v>0.97499999999999998</v>
      </c>
    </row>
    <row r="638" spans="1:24" x14ac:dyDescent="0.25">
      <c r="A638" s="5" t="s">
        <v>962</v>
      </c>
      <c r="B638" s="5">
        <v>7.2622400271999998</v>
      </c>
      <c r="C638" s="5">
        <v>935.48199999999997</v>
      </c>
      <c r="D638" s="6">
        <v>38.099999999999994</v>
      </c>
      <c r="E638" s="6">
        <v>63.5</v>
      </c>
      <c r="F638" s="5">
        <v>4.7751999999999999</v>
      </c>
      <c r="G638" s="5">
        <f t="shared" si="55"/>
        <v>1</v>
      </c>
      <c r="H638" s="6" t="str">
        <f t="shared" si="56"/>
        <v>SLBB</v>
      </c>
      <c r="I638" s="5">
        <v>8.8137999999999987</v>
      </c>
      <c r="J638" s="5">
        <f t="shared" si="57"/>
        <v>0</v>
      </c>
      <c r="K638" s="5">
        <v>0.14499999999999999</v>
      </c>
      <c r="L638" s="5">
        <v>103641.62497439999</v>
      </c>
      <c r="M638" s="5">
        <v>0.39600000000000002</v>
      </c>
      <c r="N638" s="5">
        <v>0.216</v>
      </c>
      <c r="O638" s="5">
        <v>10.5664</v>
      </c>
      <c r="P638" s="5">
        <v>811651.27991999988</v>
      </c>
      <c r="Q638" s="5">
        <v>19828.347439999998</v>
      </c>
      <c r="R638" s="5">
        <v>12781.90992</v>
      </c>
      <c r="S638" s="5">
        <v>29.463999999999995</v>
      </c>
      <c r="T638" s="5">
        <f t="shared" si="58"/>
        <v>1</v>
      </c>
      <c r="U638" s="5">
        <f t="shared" si="59"/>
        <v>1</v>
      </c>
      <c r="V638" s="5">
        <f t="shared" si="60"/>
        <v>1</v>
      </c>
      <c r="W638" s="5">
        <v>31.953199999999999</v>
      </c>
      <c r="X638" s="5">
        <v>0.95899999999999996</v>
      </c>
    </row>
    <row r="639" spans="1:24" x14ac:dyDescent="0.25">
      <c r="A639" s="5" t="s">
        <v>963</v>
      </c>
      <c r="B639" s="5">
        <v>7.2622400271999998</v>
      </c>
      <c r="C639" s="5">
        <v>935.48199999999997</v>
      </c>
      <c r="D639" s="6">
        <v>38.099999999999994</v>
      </c>
      <c r="E639" s="6">
        <v>63.5</v>
      </c>
      <c r="F639" s="5">
        <v>4.7751999999999999</v>
      </c>
      <c r="G639" s="5">
        <f t="shared" si="55"/>
        <v>1</v>
      </c>
      <c r="H639" s="6" t="str">
        <f t="shared" si="56"/>
        <v>SLBB</v>
      </c>
      <c r="I639" s="5">
        <v>8.8137999999999987</v>
      </c>
      <c r="J639" s="5">
        <f t="shared" si="57"/>
        <v>0</v>
      </c>
      <c r="K639" s="5">
        <v>0.14499999999999999</v>
      </c>
      <c r="L639" s="5">
        <v>103641.62497439999</v>
      </c>
      <c r="M639" s="5">
        <v>0.39600000000000002</v>
      </c>
      <c r="N639" s="5">
        <v>0.216</v>
      </c>
      <c r="O639" s="5">
        <v>10.5664</v>
      </c>
      <c r="P639" s="5">
        <v>1019766.99272</v>
      </c>
      <c r="Q639" s="5">
        <v>24416.725359999997</v>
      </c>
      <c r="R639" s="5">
        <v>14945.002367999999</v>
      </c>
      <c r="S639" s="5">
        <v>33.019999999999996</v>
      </c>
      <c r="T639" s="5">
        <f t="shared" si="58"/>
        <v>1</v>
      </c>
      <c r="U639" s="5">
        <f t="shared" si="59"/>
        <v>1</v>
      </c>
      <c r="V639" s="5">
        <f t="shared" si="60"/>
        <v>1</v>
      </c>
      <c r="W639" s="5">
        <v>35.305999999999997</v>
      </c>
      <c r="X639" s="5">
        <v>0.96699999999999997</v>
      </c>
    </row>
    <row r="640" spans="1:24" x14ac:dyDescent="0.25">
      <c r="A640" s="5" t="s">
        <v>964</v>
      </c>
      <c r="B640" s="5">
        <v>7.2622400271999998</v>
      </c>
      <c r="C640" s="5">
        <v>935.48199999999997</v>
      </c>
      <c r="D640" s="6">
        <v>38.099999999999994</v>
      </c>
      <c r="E640" s="6">
        <v>63.5</v>
      </c>
      <c r="F640" s="5">
        <v>4.7751999999999999</v>
      </c>
      <c r="G640" s="5">
        <f t="shared" si="55"/>
        <v>1</v>
      </c>
      <c r="H640" s="6" t="str">
        <f t="shared" si="56"/>
        <v>SLBB</v>
      </c>
      <c r="I640" s="5">
        <v>8.8137999999999987</v>
      </c>
      <c r="J640" s="5">
        <f t="shared" si="57"/>
        <v>0</v>
      </c>
      <c r="K640" s="5">
        <v>0.14499999999999999</v>
      </c>
      <c r="L640" s="5">
        <v>103641.62497439999</v>
      </c>
      <c r="M640" s="5">
        <v>0.39600000000000002</v>
      </c>
      <c r="N640" s="5">
        <v>0.216</v>
      </c>
      <c r="O640" s="5">
        <v>10.5664</v>
      </c>
      <c r="P640" s="5">
        <v>1286155.1051039998</v>
      </c>
      <c r="Q640" s="5">
        <v>28841.232639999998</v>
      </c>
      <c r="R640" s="5">
        <v>17534.158479999998</v>
      </c>
      <c r="S640" s="5">
        <v>37.083999999999996</v>
      </c>
      <c r="T640" s="5">
        <f t="shared" si="58"/>
        <v>1</v>
      </c>
      <c r="U640" s="5">
        <f t="shared" si="59"/>
        <v>1</v>
      </c>
      <c r="V640" s="5">
        <f t="shared" si="60"/>
        <v>1</v>
      </c>
      <c r="W640" s="5">
        <v>38.9636</v>
      </c>
      <c r="X640" s="5">
        <v>0.97299999999999998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w</vt:lpstr>
      <vt:lpstr>2L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Beicker Andres Yomayusa Diaz</cp:lastModifiedBy>
  <dcterms:created xsi:type="dcterms:W3CDTF">2025-10-12T22:21:20Z</dcterms:created>
  <dcterms:modified xsi:type="dcterms:W3CDTF">2026-04-06T17:56:30Z</dcterms:modified>
  <cp:category/>
</cp:coreProperties>
</file>