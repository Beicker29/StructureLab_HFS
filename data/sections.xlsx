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27"/>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E33C0291-A47C-472F-9538-6BD3C329D0D0}" xr6:coauthVersionLast="47" xr6:coauthVersionMax="47" xr10:uidLastSave="{00000000-0000-0000-0000-000000000000}"/>
  <bookViews>
    <workbookView xWindow="38280" yWindow="-120" windowWidth="29040" windowHeight="15720" activeTab="3"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309" i="1" l="1"/>
  <c r="AD310" i="1"/>
  <c r="AD311" i="1"/>
  <c r="AD312" i="1"/>
  <c r="AD313" i="1"/>
  <c r="AD314" i="1"/>
  <c r="AD315" i="1"/>
  <c r="AD316" i="1"/>
  <c r="AD317" i="1"/>
  <c r="AD318" i="1"/>
  <c r="AD319" i="1"/>
  <c r="AD320" i="1"/>
  <c r="AD309" i="1"/>
  <c r="P309" i="1"/>
  <c r="P311" i="1"/>
  <c r="P317" i="1"/>
  <c r="O310" i="1"/>
  <c r="P310" i="1" s="1"/>
  <c r="O311" i="1"/>
  <c r="O312" i="1"/>
  <c r="P312" i="1" s="1"/>
  <c r="O313" i="1"/>
  <c r="P313" i="1" s="1"/>
  <c r="O314" i="1"/>
  <c r="P314" i="1" s="1"/>
  <c r="O315" i="1"/>
  <c r="P315" i="1" s="1"/>
  <c r="O316" i="1"/>
  <c r="P316" i="1" s="1"/>
  <c r="O317" i="1"/>
  <c r="O318" i="1"/>
  <c r="P318" i="1" s="1"/>
  <c r="O319" i="1"/>
  <c r="P319" i="1" s="1"/>
  <c r="O320" i="1"/>
  <c r="P320" i="1" s="1"/>
  <c r="O309" i="1"/>
  <c r="A67" i="3" l="1"/>
  <c r="A68" i="3"/>
  <c r="A69" i="3"/>
  <c r="A70" i="3"/>
  <c r="A71" i="3"/>
  <c r="A72" i="3"/>
  <c r="A73" i="3"/>
  <c r="A74" i="3"/>
  <c r="A75" i="3"/>
  <c r="A76" i="3"/>
  <c r="A77" i="3"/>
  <c r="A78" i="3"/>
  <c r="A79" i="3"/>
  <c r="A80" i="3"/>
  <c r="A81" i="3"/>
  <c r="A55" i="3"/>
  <c r="A56" i="3"/>
  <c r="A57" i="3"/>
  <c r="A58" i="3"/>
  <c r="A59" i="3"/>
  <c r="A60" i="3"/>
  <c r="A61" i="3"/>
  <c r="A62" i="3"/>
  <c r="A63" i="3"/>
  <c r="A64" i="3"/>
  <c r="A65" i="3"/>
  <c r="A66" i="3"/>
  <c r="AU3" i="3"/>
  <c r="AU4" i="3"/>
  <c r="AU5" i="3"/>
  <c r="AU6" i="3"/>
  <c r="AU7" i="3"/>
  <c r="AU8" i="3"/>
  <c r="AU9" i="3"/>
  <c r="AU10" i="3"/>
  <c r="AU11" i="3"/>
  <c r="AU12" i="3"/>
  <c r="AU13" i="3"/>
  <c r="AU14" i="3"/>
  <c r="AU15" i="3"/>
  <c r="AU16" i="3"/>
  <c r="AU17" i="3"/>
  <c r="AU18" i="3"/>
  <c r="AU19" i="3"/>
  <c r="AU20" i="3"/>
  <c r="AU21" i="3"/>
  <c r="AU22" i="3"/>
  <c r="AU23" i="3"/>
  <c r="AU24" i="3"/>
  <c r="AU25" i="3"/>
  <c r="AU26" i="3"/>
  <c r="AU27" i="3"/>
  <c r="AU28" i="3"/>
  <c r="AU29" i="3"/>
  <c r="AU30" i="3"/>
  <c r="AU31" i="3"/>
  <c r="AU32" i="3"/>
  <c r="AU33" i="3"/>
  <c r="AU34" i="3"/>
  <c r="AU35" i="3"/>
  <c r="AU36" i="3"/>
  <c r="AU37" i="3"/>
  <c r="AU38" i="3"/>
  <c r="AU39" i="3"/>
  <c r="AU40" i="3"/>
  <c r="AU41" i="3"/>
  <c r="AU42" i="3"/>
  <c r="AU43" i="3"/>
  <c r="AU44" i="3"/>
  <c r="AU45" i="3"/>
  <c r="AU46" i="3"/>
  <c r="AU47" i="3"/>
  <c r="AU48" i="3"/>
  <c r="AU49" i="3"/>
  <c r="AU50" i="3"/>
  <c r="AU51" i="3"/>
  <c r="AU77" i="3"/>
  <c r="AU78" i="3"/>
  <c r="AU79" i="3"/>
  <c r="AU80" i="3"/>
  <c r="AU81" i="3"/>
  <c r="AU2" i="3"/>
  <c r="AQ2" i="3"/>
  <c r="AT2" i="3"/>
  <c r="J320" i="1"/>
  <c r="J319" i="1"/>
  <c r="J318" i="1"/>
  <c r="J317" i="1"/>
  <c r="J316" i="1"/>
  <c r="J315" i="1"/>
  <c r="E320" i="1"/>
  <c r="E309" i="1"/>
  <c r="E310" i="1"/>
  <c r="E311" i="1"/>
  <c r="E312" i="1"/>
  <c r="E313" i="1"/>
  <c r="E314" i="1"/>
  <c r="E315" i="1"/>
  <c r="E316" i="1"/>
  <c r="E317" i="1"/>
  <c r="E318" i="1"/>
  <c r="E319" i="1"/>
  <c r="E308" i="1"/>
  <c r="J310" i="1"/>
  <c r="J311" i="1"/>
  <c r="J312" i="1"/>
  <c r="J313" i="1"/>
  <c r="J314" i="1"/>
  <c r="J309" i="1"/>
  <c r="P293" i="1"/>
  <c r="P294" i="1"/>
  <c r="P295" i="1"/>
  <c r="P296" i="1"/>
  <c r="P297" i="1"/>
  <c r="P298" i="1"/>
  <c r="P299" i="1"/>
  <c r="P300" i="1"/>
  <c r="P301" i="1"/>
  <c r="P302" i="1"/>
  <c r="P303" i="1"/>
  <c r="P304" i="1"/>
  <c r="P305" i="1"/>
  <c r="P306" i="1"/>
  <c r="P307" i="1"/>
  <c r="P308" i="1"/>
  <c r="P292" i="1"/>
  <c r="E293" i="1"/>
  <c r="E294" i="1"/>
  <c r="E295" i="1"/>
  <c r="E296" i="1"/>
  <c r="E297" i="1"/>
  <c r="E298" i="1"/>
  <c r="E299" i="1"/>
  <c r="E300" i="1"/>
  <c r="E301" i="1"/>
  <c r="E302" i="1"/>
  <c r="E303" i="1"/>
  <c r="E304" i="1"/>
  <c r="E305" i="1"/>
  <c r="E306" i="1"/>
  <c r="E307" i="1"/>
  <c r="E292" i="1"/>
  <c r="BX292" i="1"/>
  <c r="BY292" i="1"/>
  <c r="BZ292" i="1"/>
  <c r="BX293" i="1"/>
  <c r="BY293" i="1"/>
  <c r="BZ293" i="1"/>
  <c r="BX294" i="1"/>
  <c r="BY294" i="1"/>
  <c r="BZ294" i="1"/>
  <c r="BX295" i="1"/>
  <c r="BY295" i="1"/>
  <c r="BZ295" i="1"/>
  <c r="BX296" i="1"/>
  <c r="BY296" i="1"/>
  <c r="BZ296" i="1"/>
  <c r="BX297" i="1"/>
  <c r="BY297" i="1"/>
  <c r="BZ297" i="1"/>
  <c r="BX298" i="1"/>
  <c r="BY298" i="1"/>
  <c r="BZ298" i="1"/>
  <c r="BX299" i="1"/>
  <c r="BY299" i="1"/>
  <c r="BZ299" i="1"/>
  <c r="BX300" i="1"/>
  <c r="BY300" i="1"/>
  <c r="BZ300" i="1"/>
  <c r="BX301" i="1"/>
  <c r="BY301" i="1"/>
  <c r="BZ301" i="1"/>
  <c r="BX302" i="1"/>
  <c r="BY302" i="1"/>
  <c r="BZ302" i="1"/>
  <c r="BX303" i="1"/>
  <c r="BY303" i="1"/>
  <c r="BZ303" i="1"/>
  <c r="BX304" i="1"/>
  <c r="BY304" i="1"/>
  <c r="BZ304" i="1"/>
  <c r="BX305" i="1"/>
  <c r="BY305" i="1"/>
  <c r="BZ305" i="1"/>
  <c r="BX306" i="1"/>
  <c r="BY306" i="1"/>
  <c r="BZ306" i="1"/>
  <c r="BX307" i="1"/>
  <c r="BY307" i="1"/>
  <c r="BZ307" i="1"/>
  <c r="BX308" i="1"/>
  <c r="BY308" i="1"/>
  <c r="BZ308" i="1"/>
  <c r="BX309" i="1"/>
  <c r="BY309" i="1"/>
  <c r="BZ309" i="1"/>
  <c r="BX310" i="1"/>
  <c r="BY310" i="1"/>
  <c r="BZ310" i="1"/>
  <c r="BX311" i="1"/>
  <c r="BY311" i="1"/>
  <c r="BZ311" i="1"/>
  <c r="BX312" i="1"/>
  <c r="BY312" i="1"/>
  <c r="BZ312" i="1"/>
  <c r="BX313" i="1"/>
  <c r="BY313" i="1"/>
  <c r="BZ313" i="1"/>
  <c r="BX314" i="1"/>
  <c r="BY314" i="1"/>
  <c r="BZ314" i="1"/>
  <c r="BX315" i="1"/>
  <c r="BY315" i="1"/>
  <c r="BZ315" i="1"/>
  <c r="BX316" i="1"/>
  <c r="BY316" i="1"/>
  <c r="BZ316" i="1"/>
  <c r="BX317" i="1"/>
  <c r="BY317" i="1"/>
  <c r="BZ317" i="1"/>
  <c r="BX318" i="1"/>
  <c r="BY318" i="1"/>
  <c r="BZ318" i="1"/>
  <c r="BX319" i="1"/>
  <c r="BY319" i="1"/>
  <c r="BZ319" i="1"/>
  <c r="BX320" i="1"/>
  <c r="BY320" i="1"/>
  <c r="BZ320" i="1"/>
  <c r="BX321" i="1"/>
  <c r="BY321" i="1"/>
  <c r="BZ321" i="1"/>
  <c r="BX322" i="1"/>
  <c r="BY322" i="1"/>
  <c r="BZ322" i="1"/>
  <c r="BX323" i="1"/>
  <c r="BY323" i="1"/>
  <c r="BZ323" i="1"/>
  <c r="BV292" i="1"/>
  <c r="BV293" i="1"/>
  <c r="BV294" i="1"/>
  <c r="BV295" i="1"/>
  <c r="BV296" i="1"/>
  <c r="BV297" i="1"/>
  <c r="BV298" i="1"/>
  <c r="BV299" i="1"/>
  <c r="BV300" i="1"/>
  <c r="BV301" i="1"/>
  <c r="BV302" i="1"/>
  <c r="BV303" i="1"/>
  <c r="BV304" i="1"/>
  <c r="BV305" i="1"/>
  <c r="BV306" i="1"/>
  <c r="BV307" i="1"/>
  <c r="BV308" i="1"/>
  <c r="BV309" i="1"/>
  <c r="BV310" i="1"/>
  <c r="BV311" i="1"/>
  <c r="BV312" i="1"/>
  <c r="BV313" i="1"/>
  <c r="BV314" i="1"/>
  <c r="BV315" i="1"/>
  <c r="BV316" i="1"/>
  <c r="BV317" i="1"/>
  <c r="BV318" i="1"/>
  <c r="BV319" i="1"/>
  <c r="BV320" i="1"/>
  <c r="BV321" i="1"/>
  <c r="BV322" i="1"/>
  <c r="BV323" i="1"/>
  <c r="BZ291" i="1"/>
  <c r="BY291" i="1"/>
  <c r="BX291" i="1"/>
  <c r="BV291" i="1"/>
  <c r="AJ291" i="1"/>
  <c r="P291" i="1"/>
  <c r="C291" i="1"/>
  <c r="Y3" i="8"/>
  <c r="Q3" i="8" s="1"/>
  <c r="CD3" i="8"/>
  <c r="Y4" i="8"/>
  <c r="Q4" i="8" s="1"/>
  <c r="CD4" i="8"/>
  <c r="Y5" i="8"/>
  <c r="Q5" i="8" s="1"/>
  <c r="CD5" i="8"/>
  <c r="Y6" i="8"/>
  <c r="Q6" i="8" s="1"/>
  <c r="CD6" i="8"/>
  <c r="Y7" i="8"/>
  <c r="Q7" i="8" s="1"/>
  <c r="CD7" i="8"/>
  <c r="Y8" i="8"/>
  <c r="Q8" i="8" s="1"/>
  <c r="CD8" i="8"/>
  <c r="Y9" i="8"/>
  <c r="Q9" i="8" s="1"/>
  <c r="CD9" i="8"/>
  <c r="Y10" i="8"/>
  <c r="Q10" i="8" s="1"/>
  <c r="CD10" i="8"/>
  <c r="Y11" i="8"/>
  <c r="Q11" i="8" s="1"/>
  <c r="CD11" i="8"/>
  <c r="Y12" i="8"/>
  <c r="Q12" i="8" s="1"/>
  <c r="AN12" i="8" s="1"/>
  <c r="CD12" i="8"/>
  <c r="Y13" i="8"/>
  <c r="Q13" i="8" s="1"/>
  <c r="CD13" i="8"/>
  <c r="Y14" i="8"/>
  <c r="Q14" i="8" s="1"/>
  <c r="CD14" i="8"/>
  <c r="Y15" i="8"/>
  <c r="Q15" i="8" s="1"/>
  <c r="CD15" i="8"/>
  <c r="Y16" i="8"/>
  <c r="Q16" i="8" s="1"/>
  <c r="CD16" i="8"/>
  <c r="Y17" i="8"/>
  <c r="Q17" i="8" s="1"/>
  <c r="CD17" i="8"/>
  <c r="Y18" i="8"/>
  <c r="Q18" i="8" s="1"/>
  <c r="CD18" i="8"/>
  <c r="Y19" i="8"/>
  <c r="Q19" i="8" s="1"/>
  <c r="CD19" i="8"/>
  <c r="Y20" i="8"/>
  <c r="Q20" i="8" s="1"/>
  <c r="CD20" i="8"/>
  <c r="Y21" i="8"/>
  <c r="Q21" i="8" s="1"/>
  <c r="CD21" i="8"/>
  <c r="Y22" i="8"/>
  <c r="Q22" i="8" s="1"/>
  <c r="CD22" i="8"/>
  <c r="I55" i="3"/>
  <c r="P55" i="3"/>
  <c r="Y55" i="3"/>
  <c r="H55" i="3" s="1"/>
  <c r="AC55" i="3"/>
  <c r="AD55" i="3"/>
  <c r="AE55" i="3" s="1"/>
  <c r="AF55" i="3" s="1"/>
  <c r="AG55" i="3" s="1"/>
  <c r="AH55" i="3" s="1"/>
  <c r="AI55" i="3" s="1"/>
  <c r="AJ55" i="3" s="1"/>
  <c r="AK55" i="3" s="1"/>
  <c r="AL55" i="3" s="1"/>
  <c r="AM55" i="3" s="1"/>
  <c r="AN55" i="3" s="1"/>
  <c r="AO55" i="3" s="1"/>
  <c r="I56" i="3"/>
  <c r="P56" i="3"/>
  <c r="Y56" i="3"/>
  <c r="Z56" i="3"/>
  <c r="AA56" i="3"/>
  <c r="AC56" i="3"/>
  <c r="AD56" i="3" s="1"/>
  <c r="AE56" i="3" s="1"/>
  <c r="AF56" i="3" s="1"/>
  <c r="AG56" i="3" s="1"/>
  <c r="AH56" i="3" s="1"/>
  <c r="AI56" i="3" s="1"/>
  <c r="AJ56" i="3" s="1"/>
  <c r="AK56" i="3" s="1"/>
  <c r="AL56" i="3" s="1"/>
  <c r="AM56" i="3"/>
  <c r="AN56" i="3"/>
  <c r="AO56" i="3"/>
  <c r="I57" i="3"/>
  <c r="P57" i="3"/>
  <c r="Y57" i="3"/>
  <c r="AA57" i="3" s="1"/>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I59" i="3"/>
  <c r="P59" i="3"/>
  <c r="Y59" i="3"/>
  <c r="BA59" i="3" s="1"/>
  <c r="Z59" i="3"/>
  <c r="AA59" i="3"/>
  <c r="AC59" i="3"/>
  <c r="AD59" i="3"/>
  <c r="AE59" i="3" s="1"/>
  <c r="AF59" i="3"/>
  <c r="AG59" i="3"/>
  <c r="AH59" i="3"/>
  <c r="AI59" i="3" s="1"/>
  <c r="AJ59" i="3" s="1"/>
  <c r="AK59" i="3" s="1"/>
  <c r="AL59" i="3" s="1"/>
  <c r="AM59" i="3" s="1"/>
  <c r="AN59" i="3" s="1"/>
  <c r="AO59" i="3" s="1"/>
  <c r="H60" i="3"/>
  <c r="G60" i="3" s="1"/>
  <c r="I60" i="3"/>
  <c r="P60" i="3"/>
  <c r="Y60" i="3"/>
  <c r="O60" i="3" s="1"/>
  <c r="Z60" i="3"/>
  <c r="AA60" i="3"/>
  <c r="AC60" i="3"/>
  <c r="AD60" i="3"/>
  <c r="AE60" i="3"/>
  <c r="AF60" i="3"/>
  <c r="AG60" i="3" s="1"/>
  <c r="AH60" i="3"/>
  <c r="AI60" i="3" s="1"/>
  <c r="AJ60" i="3"/>
  <c r="AK60" i="3"/>
  <c r="AL60" i="3"/>
  <c r="AM60" i="3"/>
  <c r="AN60" i="3"/>
  <c r="AO60" i="3" s="1"/>
  <c r="AT60" i="3"/>
  <c r="AV60" i="3" s="1"/>
  <c r="BA60" i="3"/>
  <c r="H61" i="3"/>
  <c r="I61" i="3"/>
  <c r="P61" i="3"/>
  <c r="Y61" i="3"/>
  <c r="O61" i="3" s="1"/>
  <c r="Z61" i="3"/>
  <c r="AA61" i="3"/>
  <c r="AT61" i="3" s="1"/>
  <c r="AV61" i="3" s="1"/>
  <c r="AC61" i="3"/>
  <c r="AD61" i="3"/>
  <c r="AE61" i="3"/>
  <c r="AF61" i="3"/>
  <c r="AG61" i="3" s="1"/>
  <c r="AH61" i="3" s="1"/>
  <c r="AI61" i="3" s="1"/>
  <c r="AJ61" i="3" s="1"/>
  <c r="AK61" i="3" s="1"/>
  <c r="AL61" i="3" s="1"/>
  <c r="AM61" i="3" s="1"/>
  <c r="AN61" i="3" s="1"/>
  <c r="AO61" i="3" s="1"/>
  <c r="I62" i="3"/>
  <c r="P62" i="3"/>
  <c r="Y62" i="3"/>
  <c r="Z62" i="3" s="1"/>
  <c r="AC62" i="3"/>
  <c r="AD62" i="3" s="1"/>
  <c r="AE62" i="3" s="1"/>
  <c r="AF62" i="3" s="1"/>
  <c r="AG62" i="3" s="1"/>
  <c r="AH62" i="3" s="1"/>
  <c r="AI62" i="3" s="1"/>
  <c r="AJ62" i="3" s="1"/>
  <c r="AK62" i="3" s="1"/>
  <c r="AL62" i="3" s="1"/>
  <c r="AM62" i="3" s="1"/>
  <c r="AN62" i="3" s="1"/>
  <c r="AO62" i="3" s="1"/>
  <c r="I63" i="3"/>
  <c r="P63" i="3"/>
  <c r="Y63" i="3"/>
  <c r="AA63" i="3" s="1"/>
  <c r="Z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s="1"/>
  <c r="AA65" i="3"/>
  <c r="AC65" i="3"/>
  <c r="AD65" i="3"/>
  <c r="AE65" i="3" s="1"/>
  <c r="AF65" i="3" s="1"/>
  <c r="AG65" i="3" s="1"/>
  <c r="AH65" i="3" s="1"/>
  <c r="AI65" i="3" s="1"/>
  <c r="AJ65" i="3"/>
  <c r="AK65" i="3" s="1"/>
  <c r="AL65" i="3"/>
  <c r="AM65" i="3" s="1"/>
  <c r="AN65" i="3" s="1"/>
  <c r="AO65" i="3" s="1"/>
  <c r="I66" i="3"/>
  <c r="P66" i="3"/>
  <c r="Y66" i="3"/>
  <c r="BA66" i="3" s="1"/>
  <c r="Z66" i="3"/>
  <c r="AA66" i="3"/>
  <c r="AC66" i="3"/>
  <c r="AD66" i="3" s="1"/>
  <c r="AE66" i="3" s="1"/>
  <c r="AF66" i="3" s="1"/>
  <c r="AG66" i="3"/>
  <c r="AH66" i="3"/>
  <c r="AI66" i="3"/>
  <c r="AJ66" i="3"/>
  <c r="AK66" i="3" s="1"/>
  <c r="AL66" i="3" s="1"/>
  <c r="AM66" i="3" s="1"/>
  <c r="AN66" i="3" s="1"/>
  <c r="AO66" i="3" s="1"/>
  <c r="I67" i="3"/>
  <c r="P67" i="3"/>
  <c r="Y67" i="3"/>
  <c r="AC67" i="3"/>
  <c r="AD67" i="3"/>
  <c r="AE67" i="3"/>
  <c r="AF67" i="3" s="1"/>
  <c r="AG67" i="3" s="1"/>
  <c r="AH67" i="3" s="1"/>
  <c r="AI67" i="3" s="1"/>
  <c r="AJ67" i="3" s="1"/>
  <c r="AK67" i="3" s="1"/>
  <c r="AL67" i="3" s="1"/>
  <c r="AM67" i="3" s="1"/>
  <c r="AN67" i="3" s="1"/>
  <c r="AO67" i="3" s="1"/>
  <c r="I68" i="3"/>
  <c r="P68" i="3"/>
  <c r="Y68" i="3"/>
  <c r="BA68" i="3" s="1"/>
  <c r="Z68" i="3"/>
  <c r="AA68" i="3"/>
  <c r="AC68" i="3"/>
  <c r="AD68" i="3"/>
  <c r="AE68" i="3"/>
  <c r="AF68" i="3"/>
  <c r="AG68" i="3"/>
  <c r="AH68" i="3" s="1"/>
  <c r="AI68" i="3" s="1"/>
  <c r="AJ68" i="3" s="1"/>
  <c r="AK68" i="3" s="1"/>
  <c r="AL68" i="3" s="1"/>
  <c r="AM68" i="3"/>
  <c r="AN68" i="3" s="1"/>
  <c r="AO68" i="3" s="1"/>
  <c r="H69" i="3"/>
  <c r="I69" i="3"/>
  <c r="P69" i="3"/>
  <c r="Y69" i="3"/>
  <c r="O69" i="3" s="1"/>
  <c r="AA69" i="3"/>
  <c r="AC69" i="3"/>
  <c r="AD69" i="3"/>
  <c r="AE69" i="3"/>
  <c r="AF69" i="3" s="1"/>
  <c r="AG69" i="3" s="1"/>
  <c r="AH69" i="3" s="1"/>
  <c r="AI69" i="3" s="1"/>
  <c r="AJ69" i="3" s="1"/>
  <c r="AK69" i="3" s="1"/>
  <c r="AL69" i="3" s="1"/>
  <c r="AM69" i="3" s="1"/>
  <c r="AN69" i="3" s="1"/>
  <c r="AO69" i="3" s="1"/>
  <c r="I70" i="3"/>
  <c r="P70" i="3"/>
  <c r="Y70" i="3"/>
  <c r="Z70" i="3" s="1"/>
  <c r="AA70" i="3"/>
  <c r="AC70" i="3"/>
  <c r="AD70" i="3"/>
  <c r="AE70" i="3"/>
  <c r="AF70" i="3"/>
  <c r="AG70" i="3"/>
  <c r="AH70" i="3"/>
  <c r="AI70" i="3"/>
  <c r="AJ70" i="3" s="1"/>
  <c r="AK70" i="3" s="1"/>
  <c r="AL70" i="3" s="1"/>
  <c r="AM70" i="3"/>
  <c r="AN70" i="3" s="1"/>
  <c r="AO70" i="3" s="1"/>
  <c r="BA70" i="3"/>
  <c r="I71" i="3"/>
  <c r="P71" i="3"/>
  <c r="Y71" i="3"/>
  <c r="O71" i="3" s="1"/>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I73" i="3"/>
  <c r="P73" i="3"/>
  <c r="Y73" i="3"/>
  <c r="H73" i="3" s="1"/>
  <c r="G73" i="3" s="1"/>
  <c r="Z73" i="3"/>
  <c r="AA73" i="3"/>
  <c r="AC73" i="3"/>
  <c r="AD73" i="3" s="1"/>
  <c r="AE73" i="3" s="1"/>
  <c r="AF73" i="3" s="1"/>
  <c r="AG73" i="3"/>
  <c r="AH73" i="3"/>
  <c r="AI73" i="3"/>
  <c r="AJ73" i="3"/>
  <c r="AK73" i="3"/>
  <c r="AL73" i="3"/>
  <c r="AM73" i="3"/>
  <c r="AN73" i="3"/>
  <c r="AO73" i="3" s="1"/>
  <c r="I74" i="3"/>
  <c r="P74" i="3"/>
  <c r="Y74" i="3"/>
  <c r="AA74" i="3" s="1"/>
  <c r="AC74" i="3"/>
  <c r="AD74" i="3"/>
  <c r="AE74" i="3"/>
  <c r="AF74" i="3"/>
  <c r="AG74" i="3"/>
  <c r="AH74" i="3"/>
  <c r="AI74" i="3"/>
  <c r="AJ74" i="3"/>
  <c r="AK74" i="3"/>
  <c r="AL74" i="3"/>
  <c r="AM74" i="3"/>
  <c r="AN74" i="3"/>
  <c r="AO74" i="3"/>
  <c r="BA74" i="3"/>
  <c r="H75" i="3"/>
  <c r="I75" i="3"/>
  <c r="P75" i="3"/>
  <c r="Y75" i="3"/>
  <c r="O75" i="3" s="1"/>
  <c r="AC75" i="3"/>
  <c r="AD75" i="3"/>
  <c r="AE75" i="3" s="1"/>
  <c r="AF75" i="3" s="1"/>
  <c r="AG75" i="3" s="1"/>
  <c r="AH75" i="3" s="1"/>
  <c r="AI75" i="3" s="1"/>
  <c r="AJ75" i="3" s="1"/>
  <c r="AK75" i="3" s="1"/>
  <c r="AL75" i="3" s="1"/>
  <c r="AM75" i="3" s="1"/>
  <c r="AN75" i="3" s="1"/>
  <c r="AO75" i="3" s="1"/>
  <c r="I76" i="3"/>
  <c r="P76" i="3"/>
  <c r="Y76" i="3"/>
  <c r="O76" i="3" s="1"/>
  <c r="Z76" i="3"/>
  <c r="AA76" i="3"/>
  <c r="AC76" i="3"/>
  <c r="AD76" i="3"/>
  <c r="AE76" i="3"/>
  <c r="AF76" i="3"/>
  <c r="AG76" i="3"/>
  <c r="AH76" i="3" s="1"/>
  <c r="AI76" i="3" s="1"/>
  <c r="AJ76" i="3" s="1"/>
  <c r="AK76" i="3" s="1"/>
  <c r="AL76" i="3"/>
  <c r="AM76" i="3"/>
  <c r="AN76" i="3"/>
  <c r="AO76" i="3" s="1"/>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AC54" i="3"/>
  <c r="AD54" i="3"/>
  <c r="AE54" i="3"/>
  <c r="AF54" i="3" s="1"/>
  <c r="AG54" i="3" s="1"/>
  <c r="AH54" i="3" s="1"/>
  <c r="AI54" i="3" s="1"/>
  <c r="AJ54" i="3" s="1"/>
  <c r="AK54" i="3" s="1"/>
  <c r="AL54" i="3" s="1"/>
  <c r="AM54" i="3" s="1"/>
  <c r="AN54" i="3" s="1"/>
  <c r="AO54" i="3" s="1"/>
  <c r="BA2" i="3"/>
  <c r="AP2" i="3"/>
  <c r="AR2" i="3" s="1"/>
  <c r="CD2" i="8"/>
  <c r="Y2" i="8"/>
  <c r="Q2" i="8" s="1"/>
  <c r="AY2" i="8" s="1"/>
  <c r="AC2" i="3"/>
  <c r="AD2" i="3" s="1"/>
  <c r="AE2" i="3" s="1"/>
  <c r="AF2" i="3" s="1"/>
  <c r="AG2" i="3" s="1"/>
  <c r="AH2" i="3" s="1"/>
  <c r="AI2" i="3" s="1"/>
  <c r="AJ2" i="3" s="1"/>
  <c r="AK2" i="3" s="1"/>
  <c r="AL2" i="3" s="1"/>
  <c r="AM2" i="3" s="1"/>
  <c r="AN2" i="3" s="1"/>
  <c r="AO2" i="3" s="1"/>
  <c r="A2" i="3"/>
  <c r="I2" i="3"/>
  <c r="P2" i="3"/>
  <c r="Y2" i="3"/>
  <c r="H2" i="3" s="1"/>
  <c r="AT76" i="3" l="1"/>
  <c r="AV76" i="3" s="1"/>
  <c r="H76" i="3"/>
  <c r="BA76" i="3"/>
  <c r="N76" i="3"/>
  <c r="C76" i="3"/>
  <c r="AU76" i="3" s="1"/>
  <c r="AA75" i="3"/>
  <c r="AT75" i="3" s="1"/>
  <c r="AV75" i="3" s="1"/>
  <c r="Z75" i="3"/>
  <c r="G75" i="3" s="1"/>
  <c r="AP75" i="3"/>
  <c r="C75" i="3"/>
  <c r="AP73" i="3"/>
  <c r="Z71" i="3"/>
  <c r="N71" i="3"/>
  <c r="Z69" i="3"/>
  <c r="O68" i="3"/>
  <c r="AT68" i="3" s="1"/>
  <c r="H68" i="3"/>
  <c r="AP68" i="3" s="1"/>
  <c r="O66" i="3"/>
  <c r="N66" i="3" s="1"/>
  <c r="H66" i="3"/>
  <c r="AP66" i="3" s="1"/>
  <c r="BA61" i="3"/>
  <c r="C61" i="3"/>
  <c r="AU61" i="3" s="1"/>
  <c r="AW61" i="3"/>
  <c r="N60" i="3"/>
  <c r="O59" i="3"/>
  <c r="C59" i="3" s="1"/>
  <c r="AU59" i="3" s="1"/>
  <c r="H59" i="3"/>
  <c r="G59" i="3" s="1"/>
  <c r="Z57" i="3"/>
  <c r="BA55" i="3"/>
  <c r="AA55" i="3"/>
  <c r="Z55" i="3"/>
  <c r="Z54" i="3"/>
  <c r="BA52" i="3"/>
  <c r="AN2" i="8"/>
  <c r="AP2" i="8" s="1"/>
  <c r="AO2" i="8"/>
  <c r="AS2" i="8" s="1"/>
  <c r="AY14" i="8"/>
  <c r="BA14" i="8" s="1"/>
  <c r="AO14" i="8"/>
  <c r="AS14" i="8" s="1"/>
  <c r="C9" i="8"/>
  <c r="AN9" i="8"/>
  <c r="AP9" i="8" s="1"/>
  <c r="AT9" i="8" s="1"/>
  <c r="AO9" i="8"/>
  <c r="AS9" i="8" s="1"/>
  <c r="AY9" i="8"/>
  <c r="BA9" i="8" s="1"/>
  <c r="C20" i="8"/>
  <c r="AY20" i="8"/>
  <c r="BA20" i="8" s="1"/>
  <c r="C12" i="8"/>
  <c r="AQ12" i="8" s="1"/>
  <c r="AU12" i="8" s="1"/>
  <c r="C22" i="8"/>
  <c r="AN22" i="8"/>
  <c r="AO22" i="8"/>
  <c r="AS22" i="8" s="1"/>
  <c r="AY22" i="8"/>
  <c r="BA22" i="8" s="1"/>
  <c r="C6" i="8"/>
  <c r="AN6" i="8"/>
  <c r="AO6" i="8"/>
  <c r="AS6" i="8" s="1"/>
  <c r="AY6" i="8"/>
  <c r="BA6" i="8" s="1"/>
  <c r="AY16" i="8"/>
  <c r="BA16" i="8" s="1"/>
  <c r="AO16" i="8"/>
  <c r="AS16" i="8" s="1"/>
  <c r="AN16" i="8"/>
  <c r="C16" i="8"/>
  <c r="C3" i="8"/>
  <c r="AN3" i="8"/>
  <c r="AO3" i="8"/>
  <c r="AS3" i="8" s="1"/>
  <c r="AY3" i="8"/>
  <c r="BA3" i="8" s="1"/>
  <c r="AN13" i="8"/>
  <c r="C13" i="8"/>
  <c r="AO13" i="8"/>
  <c r="AS13" i="8" s="1"/>
  <c r="AY13" i="8"/>
  <c r="BA13" i="8" s="1"/>
  <c r="AP12" i="8"/>
  <c r="AT12" i="8" s="1"/>
  <c r="AR12" i="8"/>
  <c r="C11" i="8"/>
  <c r="AN11" i="8"/>
  <c r="AO11" i="8"/>
  <c r="AS11" i="8" s="1"/>
  <c r="AY11" i="8"/>
  <c r="BA11" i="8" s="1"/>
  <c r="C10" i="8"/>
  <c r="AN10" i="8"/>
  <c r="AO10" i="8"/>
  <c r="AS10" i="8" s="1"/>
  <c r="AY10" i="8"/>
  <c r="BA10" i="8" s="1"/>
  <c r="C8" i="8"/>
  <c r="AN8" i="8"/>
  <c r="AO8" i="8"/>
  <c r="AS8" i="8" s="1"/>
  <c r="AY8" i="8"/>
  <c r="BA8" i="8" s="1"/>
  <c r="C18" i="8"/>
  <c r="AN18" i="8"/>
  <c r="AO18" i="8"/>
  <c r="AS18" i="8" s="1"/>
  <c r="AY18" i="8"/>
  <c r="BA18" i="8" s="1"/>
  <c r="AY7" i="8"/>
  <c r="BA7" i="8" s="1"/>
  <c r="AN7" i="8"/>
  <c r="C7" i="8"/>
  <c r="AO7" i="8"/>
  <c r="AS7" i="8" s="1"/>
  <c r="AO21" i="8"/>
  <c r="AS21" i="8" s="1"/>
  <c r="AY21" i="8"/>
  <c r="BA21" i="8" s="1"/>
  <c r="C21" i="8"/>
  <c r="AN21" i="8"/>
  <c r="C19" i="8"/>
  <c r="AN19" i="8"/>
  <c r="AO19" i="8"/>
  <c r="AS19" i="8" s="1"/>
  <c r="AY19" i="8"/>
  <c r="BA19" i="8" s="1"/>
  <c r="AO17" i="8"/>
  <c r="AS17" i="8" s="1"/>
  <c r="C17" i="8"/>
  <c r="AN17" i="8"/>
  <c r="AY17" i="8"/>
  <c r="BA17" i="8" s="1"/>
  <c r="AO5" i="8"/>
  <c r="AS5" i="8" s="1"/>
  <c r="AY5" i="8"/>
  <c r="BA5" i="8" s="1"/>
  <c r="C5" i="8"/>
  <c r="AN5" i="8"/>
  <c r="C15" i="8"/>
  <c r="AN15" i="8"/>
  <c r="AO15" i="8"/>
  <c r="AS15" i="8" s="1"/>
  <c r="AY15" i="8"/>
  <c r="BA15" i="8" s="1"/>
  <c r="C4" i="8"/>
  <c r="AN4" i="8"/>
  <c r="AO4" i="8"/>
  <c r="AS4" i="8" s="1"/>
  <c r="AY4" i="8"/>
  <c r="BA4" i="8" s="1"/>
  <c r="AN14" i="8"/>
  <c r="C14" i="8"/>
  <c r="AO20" i="8"/>
  <c r="AS20" i="8" s="1"/>
  <c r="AN20" i="8"/>
  <c r="AY12" i="8"/>
  <c r="BA12" i="8" s="1"/>
  <c r="AO12" i="8"/>
  <c r="AS12" i="8" s="1"/>
  <c r="H51" i="3"/>
  <c r="AP51" i="3" s="1"/>
  <c r="AR51" i="3" s="1"/>
  <c r="N81" i="3"/>
  <c r="C81" i="3"/>
  <c r="BA80" i="3"/>
  <c r="H80" i="3"/>
  <c r="G80" i="3" s="1"/>
  <c r="G76" i="3"/>
  <c r="O80" i="3"/>
  <c r="N80" i="3" s="1"/>
  <c r="H65" i="3"/>
  <c r="G65" i="3" s="1"/>
  <c r="BA65" i="3"/>
  <c r="O65" i="3"/>
  <c r="N65" i="3" s="1"/>
  <c r="AR81" i="3"/>
  <c r="AS81" i="3"/>
  <c r="AR73" i="3"/>
  <c r="AV68" i="3"/>
  <c r="AT80" i="3"/>
  <c r="AP80" i="3"/>
  <c r="H62" i="3"/>
  <c r="G62" i="3" s="1"/>
  <c r="AA62" i="3"/>
  <c r="N69" i="3"/>
  <c r="O77" i="3"/>
  <c r="N77" i="3" s="1"/>
  <c r="H77" i="3"/>
  <c r="G77" i="3" s="1"/>
  <c r="BA77" i="3"/>
  <c r="AA58" i="3"/>
  <c r="BA58" i="3"/>
  <c r="Z58" i="3"/>
  <c r="AQ75" i="3"/>
  <c r="O58" i="3"/>
  <c r="AQ61" i="3"/>
  <c r="N68" i="3"/>
  <c r="BA72" i="3"/>
  <c r="H72" i="3"/>
  <c r="G72" i="3" s="1"/>
  <c r="AR68" i="3"/>
  <c r="O72" i="3"/>
  <c r="N72" i="3" s="1"/>
  <c r="G68" i="3"/>
  <c r="C68" i="3"/>
  <c r="AU68" i="3" s="1"/>
  <c r="O62" i="3"/>
  <c r="N62" i="3" s="1"/>
  <c r="BA56" i="3"/>
  <c r="H56" i="3"/>
  <c r="G56" i="3" s="1"/>
  <c r="AP69" i="3"/>
  <c r="AT69" i="3"/>
  <c r="BA69" i="3"/>
  <c r="C69" i="3"/>
  <c r="AU69" i="3" s="1"/>
  <c r="AT77" i="3"/>
  <c r="O56" i="3"/>
  <c r="N56" i="3" s="1"/>
  <c r="CF61" i="3"/>
  <c r="G69" i="3"/>
  <c r="H58" i="3"/>
  <c r="G81" i="3"/>
  <c r="BA63" i="3"/>
  <c r="H63" i="3"/>
  <c r="G63" i="3" s="1"/>
  <c r="G78" i="3"/>
  <c r="AP60" i="3"/>
  <c r="C60" i="3"/>
  <c r="AU60" i="3" s="1"/>
  <c r="O63" i="3"/>
  <c r="N63" i="3" s="1"/>
  <c r="O78" i="3"/>
  <c r="N78" i="3" s="1"/>
  <c r="Z74" i="3"/>
  <c r="H70" i="3"/>
  <c r="O70" i="3"/>
  <c r="AT70" i="3" s="1"/>
  <c r="AR75" i="3"/>
  <c r="AS75" i="3"/>
  <c r="AR66" i="3"/>
  <c r="BA57" i="3"/>
  <c r="O74" i="3"/>
  <c r="G66" i="3"/>
  <c r="Z67" i="3"/>
  <c r="AA67" i="3"/>
  <c r="C66" i="3"/>
  <c r="AU66" i="3" s="1"/>
  <c r="O57" i="3"/>
  <c r="BA79" i="3"/>
  <c r="H57" i="3"/>
  <c r="G57" i="3" s="1"/>
  <c r="BA64" i="3"/>
  <c r="Z64" i="3"/>
  <c r="O79" i="3"/>
  <c r="AP55" i="3"/>
  <c r="O64" i="3"/>
  <c r="AP76" i="3"/>
  <c r="G61" i="3"/>
  <c r="C79" i="3"/>
  <c r="H74" i="3"/>
  <c r="C74" i="3" s="1"/>
  <c r="AU74" i="3" s="1"/>
  <c r="O67" i="3"/>
  <c r="H71" i="3"/>
  <c r="G71" i="3" s="1"/>
  <c r="AA71" i="3"/>
  <c r="H67" i="3"/>
  <c r="AP59" i="3"/>
  <c r="H79" i="3"/>
  <c r="H64" i="3"/>
  <c r="C64" i="3" s="1"/>
  <c r="AU64" i="3" s="1"/>
  <c r="AT81" i="3"/>
  <c r="BA73" i="3"/>
  <c r="AP61" i="3"/>
  <c r="G55" i="3"/>
  <c r="AT66" i="3"/>
  <c r="O73" i="3"/>
  <c r="N73" i="3" s="1"/>
  <c r="N61" i="3"/>
  <c r="O55" i="3"/>
  <c r="C55" i="3" s="1"/>
  <c r="AU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H40" i="3"/>
  <c r="C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C2" i="8"/>
  <c r="AA2" i="3"/>
  <c r="O2" i="3"/>
  <c r="Z2" i="3"/>
  <c r="AW76" i="3" l="1"/>
  <c r="CF76" i="3"/>
  <c r="CE76" i="3" s="1"/>
  <c r="AQ76" i="3"/>
  <c r="BA75" i="3"/>
  <c r="N75" i="3"/>
  <c r="AW75" i="3"/>
  <c r="AU75" i="3"/>
  <c r="CF75" i="3"/>
  <c r="CE75" i="3" s="1"/>
  <c r="C73" i="3"/>
  <c r="AS73" i="3"/>
  <c r="AU73" i="3"/>
  <c r="AT72" i="3"/>
  <c r="AW72" i="3" s="1"/>
  <c r="AP72" i="3"/>
  <c r="C72" i="3"/>
  <c r="AU72" i="3" s="1"/>
  <c r="N67" i="3"/>
  <c r="AT65" i="3"/>
  <c r="AV65" i="3" s="1"/>
  <c r="C65" i="3"/>
  <c r="AU65" i="3" s="1"/>
  <c r="CF59" i="3"/>
  <c r="N59" i="3"/>
  <c r="AQ59" i="3"/>
  <c r="AT59" i="3"/>
  <c r="AP57" i="3"/>
  <c r="AR57" i="3" s="1"/>
  <c r="C57" i="3"/>
  <c r="AU57" i="3" s="1"/>
  <c r="AP54" i="3"/>
  <c r="AR54" i="3" s="1"/>
  <c r="BA53" i="3"/>
  <c r="C52" i="3"/>
  <c r="AU52" i="3" s="1"/>
  <c r="AQ2" i="8"/>
  <c r="AU2" i="8" s="1"/>
  <c r="AR9" i="8"/>
  <c r="AQ9" i="8"/>
  <c r="AU9" i="8" s="1"/>
  <c r="AP19" i="8"/>
  <c r="AT19" i="8" s="1"/>
  <c r="AQ19" i="8"/>
  <c r="AU19" i="8" s="1"/>
  <c r="AR19" i="8"/>
  <c r="AQ14" i="8"/>
  <c r="AU14" i="8" s="1"/>
  <c r="AR14" i="8"/>
  <c r="AP14" i="8"/>
  <c r="AT14" i="8" s="1"/>
  <c r="AR15" i="8"/>
  <c r="AQ15" i="8"/>
  <c r="AU15" i="8" s="1"/>
  <c r="AP15" i="8"/>
  <c r="AT15" i="8" s="1"/>
  <c r="AP8" i="8"/>
  <c r="AT8" i="8" s="1"/>
  <c r="AQ8" i="8"/>
  <c r="AU8" i="8" s="1"/>
  <c r="AR8" i="8"/>
  <c r="AP6" i="8"/>
  <c r="AT6" i="8" s="1"/>
  <c r="AQ6" i="8"/>
  <c r="AU6" i="8" s="1"/>
  <c r="AR6" i="8"/>
  <c r="AP10" i="8"/>
  <c r="AT10" i="8" s="1"/>
  <c r="AQ10" i="8"/>
  <c r="AU10" i="8" s="1"/>
  <c r="AR10" i="8"/>
  <c r="AP5" i="8"/>
  <c r="AT5" i="8" s="1"/>
  <c r="AQ5" i="8"/>
  <c r="AU5" i="8" s="1"/>
  <c r="AR5" i="8"/>
  <c r="AP22" i="8"/>
  <c r="AT22" i="8" s="1"/>
  <c r="AQ22" i="8"/>
  <c r="AU22" i="8" s="1"/>
  <c r="AR22" i="8"/>
  <c r="AP17" i="8"/>
  <c r="AT17" i="8" s="1"/>
  <c r="AQ17" i="8"/>
  <c r="AU17" i="8" s="1"/>
  <c r="AR17" i="8"/>
  <c r="AP11" i="8"/>
  <c r="AT11" i="8" s="1"/>
  <c r="AR11" i="8"/>
  <c r="AQ11" i="8"/>
  <c r="AU11" i="8" s="1"/>
  <c r="AP21" i="8"/>
  <c r="AT21" i="8" s="1"/>
  <c r="AQ21" i="8"/>
  <c r="AU21" i="8" s="1"/>
  <c r="AR21" i="8"/>
  <c r="AP13" i="8"/>
  <c r="AT13" i="8" s="1"/>
  <c r="AQ13" i="8"/>
  <c r="AU13" i="8" s="1"/>
  <c r="AR13" i="8"/>
  <c r="AP20" i="8"/>
  <c r="AT20" i="8" s="1"/>
  <c r="AQ20" i="8"/>
  <c r="AU20" i="8" s="1"/>
  <c r="AR20" i="8"/>
  <c r="AP3" i="8"/>
  <c r="AT3" i="8" s="1"/>
  <c r="AQ3" i="8"/>
  <c r="AU3" i="8" s="1"/>
  <c r="AR3" i="8"/>
  <c r="AQ7" i="8"/>
  <c r="AU7" i="8" s="1"/>
  <c r="AP7" i="8"/>
  <c r="AT7" i="8" s="1"/>
  <c r="AR7" i="8"/>
  <c r="AQ16" i="8"/>
  <c r="AU16" i="8" s="1"/>
  <c r="AR16" i="8"/>
  <c r="AP16" i="8"/>
  <c r="AT16" i="8" s="1"/>
  <c r="AP4" i="8"/>
  <c r="AT4" i="8" s="1"/>
  <c r="AQ4" i="8"/>
  <c r="AU4" i="8" s="1"/>
  <c r="AR4" i="8"/>
  <c r="AQ18" i="8"/>
  <c r="AU18" i="8" s="1"/>
  <c r="AP18" i="8"/>
  <c r="AT18" i="8" s="1"/>
  <c r="AR18" i="8"/>
  <c r="G51" i="3"/>
  <c r="C51" i="3"/>
  <c r="CF51" i="3" s="1"/>
  <c r="CF55" i="3"/>
  <c r="AQ55" i="3"/>
  <c r="AV70" i="3"/>
  <c r="CF74" i="3"/>
  <c r="AQ74" i="3"/>
  <c r="AP62" i="3"/>
  <c r="AT62" i="3"/>
  <c r="C62" i="3"/>
  <c r="AU62" i="3" s="1"/>
  <c r="AV80" i="3"/>
  <c r="AQ64" i="3"/>
  <c r="CF64" i="3"/>
  <c r="AR60" i="3"/>
  <c r="AS60" i="3"/>
  <c r="AT64" i="3"/>
  <c r="N64" i="3"/>
  <c r="AT78" i="3"/>
  <c r="AR69" i="3"/>
  <c r="AS69" i="3"/>
  <c r="AS80" i="3"/>
  <c r="AR80" i="3"/>
  <c r="CF73" i="3"/>
  <c r="CE73" i="3" s="1"/>
  <c r="AQ73" i="3"/>
  <c r="CF68" i="3"/>
  <c r="CE68" i="3" s="1"/>
  <c r="AQ68" i="3"/>
  <c r="AQ60" i="3"/>
  <c r="CF60" i="3"/>
  <c r="CE60" i="3" s="1"/>
  <c r="AW60" i="3"/>
  <c r="AW68" i="3"/>
  <c r="AR76" i="3"/>
  <c r="AS76" i="3"/>
  <c r="AS68" i="3"/>
  <c r="AR55" i="3"/>
  <c r="AS55" i="3"/>
  <c r="N79" i="3"/>
  <c r="AT79" i="3"/>
  <c r="AT63" i="3"/>
  <c r="AT73" i="3"/>
  <c r="AP63" i="3"/>
  <c r="N58" i="3"/>
  <c r="AP65" i="3"/>
  <c r="N70" i="3"/>
  <c r="C70" i="3"/>
  <c r="AU70" i="3" s="1"/>
  <c r="N55" i="3"/>
  <c r="AT55" i="3"/>
  <c r="CF66" i="3"/>
  <c r="CE66" i="3" s="1"/>
  <c r="AQ66" i="3"/>
  <c r="G58" i="3"/>
  <c r="AS61" i="3"/>
  <c r="AR61" i="3"/>
  <c r="N74" i="3"/>
  <c r="AQ81" i="3"/>
  <c r="CF81" i="3"/>
  <c r="CE81" i="3" s="1"/>
  <c r="C71" i="3"/>
  <c r="AU71" i="3" s="1"/>
  <c r="AT71" i="3"/>
  <c r="AP71" i="3"/>
  <c r="BA71" i="3"/>
  <c r="G70" i="3"/>
  <c r="AP70" i="3"/>
  <c r="AQ57" i="3"/>
  <c r="CF57" i="3"/>
  <c r="G74" i="3"/>
  <c r="AP74" i="3"/>
  <c r="CF79" i="3"/>
  <c r="CE79" i="3" s="1"/>
  <c r="AQ79" i="3"/>
  <c r="N57" i="3"/>
  <c r="AT57" i="3"/>
  <c r="C63" i="3"/>
  <c r="AU63" i="3" s="1"/>
  <c r="CF65" i="3"/>
  <c r="CE65" i="3" s="1"/>
  <c r="AQ65" i="3"/>
  <c r="AP67" i="3"/>
  <c r="AT67" i="3"/>
  <c r="C67" i="3"/>
  <c r="AU67" i="3" s="1"/>
  <c r="BA67" i="3"/>
  <c r="AV66" i="3"/>
  <c r="AW66" i="3"/>
  <c r="AT58" i="3"/>
  <c r="AP58" i="3"/>
  <c r="C58" i="3"/>
  <c r="AU58" i="3" s="1"/>
  <c r="CE61" i="3"/>
  <c r="C78" i="3"/>
  <c r="AV77" i="3"/>
  <c r="AV81" i="3"/>
  <c r="AW81" i="3"/>
  <c r="C77" i="3"/>
  <c r="C80" i="3"/>
  <c r="AW80" i="3" s="1"/>
  <c r="AP64" i="3"/>
  <c r="G64" i="3"/>
  <c r="AS66" i="3"/>
  <c r="AP77" i="3"/>
  <c r="AT56" i="3"/>
  <c r="G79" i="3"/>
  <c r="AP79" i="3"/>
  <c r="AQ69" i="3"/>
  <c r="CF69" i="3"/>
  <c r="CE69" i="3" s="1"/>
  <c r="AP56" i="3"/>
  <c r="AR59" i="3"/>
  <c r="AS59" i="3"/>
  <c r="AT74" i="3"/>
  <c r="C56" i="3"/>
  <c r="AU56" i="3" s="1"/>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N51" i="3"/>
  <c r="CE51" i="3" s="1"/>
  <c r="AW21" i="3"/>
  <c r="G36" i="3"/>
  <c r="AP36" i="3"/>
  <c r="AR36" i="3" s="1"/>
  <c r="N21" i="3"/>
  <c r="AT28" i="3"/>
  <c r="AV28" i="3" s="1"/>
  <c r="C16" i="3"/>
  <c r="AW16" i="3" s="1"/>
  <c r="CF30" i="3"/>
  <c r="CE30" i="3" s="1"/>
  <c r="CF32" i="3"/>
  <c r="N47" i="3"/>
  <c r="AW30" i="3"/>
  <c r="C54" i="3"/>
  <c r="CF40" i="3"/>
  <c r="CE40" i="3" s="1"/>
  <c r="AQ30" i="3"/>
  <c r="CF52" i="3"/>
  <c r="CE52" i="3" s="1"/>
  <c r="AP52" i="3"/>
  <c r="C25" i="3"/>
  <c r="G40" i="3"/>
  <c r="AQ52" i="3"/>
  <c r="AS51" i="3"/>
  <c r="AP5" i="3"/>
  <c r="AT51" i="3"/>
  <c r="AV51" i="3" s="1"/>
  <c r="AT48" i="3"/>
  <c r="AV48" i="3" s="1"/>
  <c r="AT3" i="3"/>
  <c r="AW3" i="3" s="1"/>
  <c r="AQ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AU53" i="3" s="1"/>
  <c r="G53" i="3"/>
  <c r="AT7" i="3"/>
  <c r="C7" i="3"/>
  <c r="AP7" i="3"/>
  <c r="C34" i="3"/>
  <c r="AS21" i="3"/>
  <c r="AR21" i="3"/>
  <c r="CF19" i="3"/>
  <c r="AQ19" i="3"/>
  <c r="G37" i="3"/>
  <c r="AR35" i="3"/>
  <c r="CF4" i="3"/>
  <c r="AQ4" i="3"/>
  <c r="AT14" i="3"/>
  <c r="AT20" i="3"/>
  <c r="CF21" i="3"/>
  <c r="AQ21" i="3"/>
  <c r="AV10" i="3"/>
  <c r="N23" i="3"/>
  <c r="AT34" i="3"/>
  <c r="N35" i="3"/>
  <c r="C35" i="3"/>
  <c r="AS35" i="3" s="1"/>
  <c r="AV4" i="3"/>
  <c r="AW4" i="3"/>
  <c r="AQ26" i="3"/>
  <c r="CF26" i="3"/>
  <c r="AT13" i="3"/>
  <c r="AV25" i="3"/>
  <c r="CF33" i="3"/>
  <c r="CE33" i="3" s="1"/>
  <c r="AQ33" i="3"/>
  <c r="G29" i="3"/>
  <c r="AP29" i="3"/>
  <c r="AT5" i="3"/>
  <c r="AR46" i="3"/>
  <c r="AW19" i="3"/>
  <c r="C43" i="3"/>
  <c r="AP43" i="3"/>
  <c r="AT43" i="3"/>
  <c r="AR14" i="3"/>
  <c r="C14" i="3"/>
  <c r="AQ8" i="3"/>
  <c r="CF8" i="3"/>
  <c r="CE8" i="3" s="1"/>
  <c r="AT22" i="3"/>
  <c r="C22" i="3"/>
  <c r="AP22" i="3"/>
  <c r="AP18" i="3"/>
  <c r="C18" i="3"/>
  <c r="AT18" i="3"/>
  <c r="AQ41" i="3"/>
  <c r="CF41" i="3"/>
  <c r="CE41" i="3" s="1"/>
  <c r="AR5" i="3"/>
  <c r="AV46" i="3"/>
  <c r="CF36" i="3"/>
  <c r="CE36" i="3" s="1"/>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V15" i="3"/>
  <c r="AS33" i="3"/>
  <c r="AR33" i="3"/>
  <c r="C10" i="3"/>
  <c r="AV38" i="3"/>
  <c r="AW38" i="3"/>
  <c r="BA22" i="3"/>
  <c r="G4" i="3"/>
  <c r="AQ45" i="3"/>
  <c r="CF45" i="3"/>
  <c r="CE45" i="3" s="1"/>
  <c r="CF3" i="3"/>
  <c r="CE3" i="3" s="1"/>
  <c r="AQ3" i="3"/>
  <c r="AR19" i="3"/>
  <c r="AS19" i="3"/>
  <c r="AT31" i="3"/>
  <c r="AP31" i="3"/>
  <c r="C31" i="3"/>
  <c r="AS25" i="3"/>
  <c r="AR25" i="3"/>
  <c r="AR38" i="3"/>
  <c r="AS38" i="3"/>
  <c r="AV52" i="3"/>
  <c r="AT29" i="3"/>
  <c r="BA18" i="3"/>
  <c r="AP44" i="3"/>
  <c r="N46" i="3"/>
  <c r="C46" i="3"/>
  <c r="AS46" i="3" s="1"/>
  <c r="C12" i="3"/>
  <c r="AT12" i="3"/>
  <c r="AP12" i="3"/>
  <c r="AV41" i="3"/>
  <c r="AW41" i="3"/>
  <c r="N4" i="3"/>
  <c r="AV45" i="3"/>
  <c r="AW45" i="3"/>
  <c r="AR41" i="3"/>
  <c r="AS41" i="3"/>
  <c r="AT49" i="3"/>
  <c r="C49" i="3"/>
  <c r="AP49" i="3"/>
  <c r="BA49" i="3"/>
  <c r="AR2" i="8"/>
  <c r="AT2" i="8"/>
  <c r="C2" i="3"/>
  <c r="N2" i="3"/>
  <c r="G2" i="3"/>
  <c r="CE74" i="3" l="1"/>
  <c r="AQ72" i="3"/>
  <c r="AV72" i="3"/>
  <c r="CF72" i="3"/>
  <c r="CE72" i="3" s="1"/>
  <c r="AS72" i="3"/>
  <c r="AR72" i="3"/>
  <c r="AW65" i="3"/>
  <c r="AV59" i="3"/>
  <c r="AW59" i="3"/>
  <c r="CE59" i="3"/>
  <c r="AS57" i="3"/>
  <c r="CE55" i="3"/>
  <c r="AQ54" i="3"/>
  <c r="AU54" i="3"/>
  <c r="AW52" i="3"/>
  <c r="AW56" i="3"/>
  <c r="AV56" i="3"/>
  <c r="AW67" i="3"/>
  <c r="AV67" i="3"/>
  <c r="AQ70" i="3"/>
  <c r="CF70" i="3"/>
  <c r="CE70" i="3" s="1"/>
  <c r="AR79" i="3"/>
  <c r="AS79" i="3"/>
  <c r="CE57" i="3"/>
  <c r="AV73" i="3"/>
  <c r="AW73" i="3"/>
  <c r="AV63" i="3"/>
  <c r="AW63" i="3"/>
  <c r="AV79" i="3"/>
  <c r="AW79" i="3"/>
  <c r="CE64" i="3"/>
  <c r="AQ67" i="3"/>
  <c r="CF67" i="3"/>
  <c r="CE67" i="3" s="1"/>
  <c r="AR67" i="3"/>
  <c r="AS67" i="3"/>
  <c r="AV74" i="3"/>
  <c r="AW74" i="3"/>
  <c r="CF63" i="3"/>
  <c r="CE63" i="3" s="1"/>
  <c r="AQ63" i="3"/>
  <c r="AV78" i="3"/>
  <c r="AW78" i="3"/>
  <c r="AR64" i="3"/>
  <c r="AS64" i="3"/>
  <c r="AR70" i="3"/>
  <c r="AS70" i="3"/>
  <c r="CF62" i="3"/>
  <c r="CE62" i="3" s="1"/>
  <c r="AQ62" i="3"/>
  <c r="CF56" i="3"/>
  <c r="CE56" i="3" s="1"/>
  <c r="AQ56" i="3"/>
  <c r="AV55" i="3"/>
  <c r="AW55" i="3"/>
  <c r="AS56" i="3"/>
  <c r="AR56" i="3"/>
  <c r="AV64" i="3"/>
  <c r="AW64" i="3"/>
  <c r="AS74" i="3"/>
  <c r="AR74" i="3"/>
  <c r="AR77" i="3"/>
  <c r="AS77" i="3"/>
  <c r="AS71" i="3"/>
  <c r="AR71" i="3"/>
  <c r="AV71" i="3"/>
  <c r="AW71" i="3"/>
  <c r="CF78" i="3"/>
  <c r="CE78" i="3" s="1"/>
  <c r="AQ78" i="3"/>
  <c r="AS78" i="3"/>
  <c r="CF71" i="3"/>
  <c r="CE71" i="3" s="1"/>
  <c r="AQ71" i="3"/>
  <c r="CF58" i="3"/>
  <c r="CE58" i="3" s="1"/>
  <c r="AQ58" i="3"/>
  <c r="AV57" i="3"/>
  <c r="AW57" i="3"/>
  <c r="AR65" i="3"/>
  <c r="AS65" i="3"/>
  <c r="AR63" i="3"/>
  <c r="AS63" i="3"/>
  <c r="AQ80" i="3"/>
  <c r="CF80" i="3"/>
  <c r="CE80" i="3" s="1"/>
  <c r="AQ77" i="3"/>
  <c r="CF77" i="3"/>
  <c r="CE77" i="3" s="1"/>
  <c r="AW62" i="3"/>
  <c r="AV62" i="3"/>
  <c r="AW77" i="3"/>
  <c r="AS62" i="3"/>
  <c r="AR62" i="3"/>
  <c r="AS58" i="3"/>
  <c r="AR58" i="3"/>
  <c r="AW70" i="3"/>
  <c r="AV58" i="3"/>
  <c r="AW58" i="3"/>
  <c r="AQ44" i="3"/>
  <c r="CF38" i="3"/>
  <c r="CE38" i="3" s="1"/>
  <c r="AS32" i="3"/>
  <c r="CE32" i="3"/>
  <c r="AV32" i="3"/>
  <c r="CF29" i="3"/>
  <c r="CE29" i="3" s="1"/>
  <c r="AQ24" i="3"/>
  <c r="CF24" i="3"/>
  <c r="CE24" i="3" s="1"/>
  <c r="AW24" i="3"/>
  <c r="CE21" i="3"/>
  <c r="CE19" i="3"/>
  <c r="AQ17" i="3"/>
  <c r="AS17" i="3"/>
  <c r="CF16" i="3"/>
  <c r="CE16" i="3" s="1"/>
  <c r="AS16" i="3"/>
  <c r="AQ16" i="3"/>
  <c r="AW8" i="3"/>
  <c r="AS5" i="3"/>
  <c r="AR4" i="3"/>
  <c r="CF2" i="3"/>
  <c r="AS2" i="3"/>
  <c r="AW2" i="3"/>
  <c r="AQ25" i="3"/>
  <c r="CF25" i="3"/>
  <c r="CE25" i="3" s="1"/>
  <c r="AS54" i="3"/>
  <c r="AS36" i="3"/>
  <c r="AW25" i="3"/>
  <c r="AR40" i="3"/>
  <c r="AS40" i="3"/>
  <c r="CE26" i="3"/>
  <c r="AW51" i="3"/>
  <c r="AR52" i="3"/>
  <c r="AS52" i="3"/>
  <c r="AV3" i="3"/>
  <c r="AS6" i="3"/>
  <c r="AV40" i="3"/>
  <c r="AW40" i="3"/>
  <c r="CF54" i="3"/>
  <c r="CE54" i="3" s="1"/>
  <c r="AQ6" i="3"/>
  <c r="CF6" i="3"/>
  <c r="CE6" i="3" s="1"/>
  <c r="AS34" i="3"/>
  <c r="AV27" i="3"/>
  <c r="AW27" i="3"/>
  <c r="CF7" i="3"/>
  <c r="CE7" i="3" s="1"/>
  <c r="AQ7" i="3"/>
  <c r="AV37" i="3"/>
  <c r="AW37" i="3"/>
  <c r="AV14" i="3"/>
  <c r="AW14" i="3"/>
  <c r="AR53" i="3"/>
  <c r="AS53" i="3"/>
  <c r="AV20" i="3"/>
  <c r="AW20" i="3"/>
  <c r="CE4" i="3"/>
  <c r="AR23" i="3"/>
  <c r="AS23" i="3"/>
  <c r="AR50" i="3"/>
  <c r="AS50" i="3"/>
  <c r="AR37" i="3"/>
  <c r="AS37" i="3"/>
  <c r="AR48" i="3"/>
  <c r="AS48" i="3"/>
  <c r="CF43" i="3"/>
  <c r="CE43" i="3" s="1"/>
  <c r="AQ43" i="3"/>
  <c r="AQ23" i="3"/>
  <c r="CF23" i="3"/>
  <c r="CE23" i="3" s="1"/>
  <c r="AQ50" i="3"/>
  <c r="CF50" i="3"/>
  <c r="CE50" i="3" s="1"/>
  <c r="AV13" i="3"/>
  <c r="AW13" i="3"/>
  <c r="AV23" i="3"/>
  <c r="AW23" i="3"/>
  <c r="AV50" i="3"/>
  <c r="AW50" i="3"/>
  <c r="AQ14" i="3"/>
  <c r="CF14" i="3"/>
  <c r="CE14" i="3" s="1"/>
  <c r="AS14" i="3"/>
  <c r="AR43" i="3"/>
  <c r="AS43" i="3"/>
  <c r="CF31" i="3"/>
  <c r="CE31" i="3" s="1"/>
  <c r="AQ31" i="3"/>
  <c r="CF48" i="3"/>
  <c r="CE48" i="3" s="1"/>
  <c r="AQ48" i="3"/>
  <c r="AW48" i="3"/>
  <c r="AQ5" i="3"/>
  <c r="CF5" i="3"/>
  <c r="CE5" i="3" s="1"/>
  <c r="AV18" i="3"/>
  <c r="AW18" i="3"/>
  <c r="CF35" i="3"/>
  <c r="CE35" i="3" s="1"/>
  <c r="AQ35" i="3"/>
  <c r="CF47" i="3"/>
  <c r="CE47" i="3" s="1"/>
  <c r="AQ47" i="3"/>
  <c r="CF20" i="3"/>
  <c r="CE20" i="3" s="1"/>
  <c r="AQ20" i="3"/>
  <c r="CF11" i="3"/>
  <c r="CE11" i="3" s="1"/>
  <c r="AQ11" i="3"/>
  <c r="CF13" i="3"/>
  <c r="CE13" i="3" s="1"/>
  <c r="AQ13" i="3"/>
  <c r="CF18" i="3"/>
  <c r="CE18" i="3" s="1"/>
  <c r="AQ18" i="3"/>
  <c r="AS47" i="3"/>
  <c r="AR47" i="3"/>
  <c r="AR13" i="3"/>
  <c r="AS13" i="3"/>
  <c r="AV29" i="3"/>
  <c r="AW29" i="3"/>
  <c r="CF37" i="3"/>
  <c r="CE37" i="3" s="1"/>
  <c r="AQ37" i="3"/>
  <c r="AR12" i="3"/>
  <c r="AS12" i="3"/>
  <c r="AV5" i="3"/>
  <c r="AW5" i="3"/>
  <c r="AV34" i="3"/>
  <c r="AW34" i="3"/>
  <c r="AV47" i="3"/>
  <c r="AW47" i="3"/>
  <c r="AV11" i="3"/>
  <c r="AW11" i="3"/>
  <c r="AR31" i="3"/>
  <c r="AS31" i="3"/>
  <c r="AQ15" i="3"/>
  <c r="CF15" i="3"/>
  <c r="CE15" i="3" s="1"/>
  <c r="AR29" i="3"/>
  <c r="AS29" i="3"/>
  <c r="AR39" i="3"/>
  <c r="AS39" i="3"/>
  <c r="AR11" i="3"/>
  <c r="AS11" i="3"/>
  <c r="AV7" i="3"/>
  <c r="AW7" i="3"/>
  <c r="AW43" i="3"/>
  <c r="AV43" i="3"/>
  <c r="AV12" i="3"/>
  <c r="AW12" i="3"/>
  <c r="AS42" i="3"/>
  <c r="AR42" i="3"/>
  <c r="AR22" i="3"/>
  <c r="AS22" i="3"/>
  <c r="CF12" i="3"/>
  <c r="CE12" i="3" s="1"/>
  <c r="AQ12" i="3"/>
  <c r="AQ10" i="3"/>
  <c r="CF10" i="3"/>
  <c r="CE10" i="3" s="1"/>
  <c r="CF42" i="3"/>
  <c r="CE42" i="3" s="1"/>
  <c r="AQ42" i="3"/>
  <c r="CF22" i="3"/>
  <c r="CE22" i="3" s="1"/>
  <c r="AQ22" i="3"/>
  <c r="CF39" i="3"/>
  <c r="CE39" i="3" s="1"/>
  <c r="AQ39" i="3"/>
  <c r="AS10" i="3"/>
  <c r="AR27" i="3"/>
  <c r="AS27" i="3"/>
  <c r="AQ53" i="3"/>
  <c r="AW53" i="3"/>
  <c r="CF53" i="3"/>
  <c r="CE53" i="3" s="1"/>
  <c r="AV31" i="3"/>
  <c r="AW31" i="3"/>
  <c r="AW42" i="3"/>
  <c r="AV42" i="3"/>
  <c r="AV22" i="3"/>
  <c r="AW22" i="3"/>
  <c r="AW10" i="3"/>
  <c r="AR3" i="3"/>
  <c r="AS3" i="3"/>
  <c r="AR49" i="3"/>
  <c r="AS49" i="3"/>
  <c r="CF46" i="3"/>
  <c r="CE46" i="3" s="1"/>
  <c r="AQ46" i="3"/>
  <c r="CF49" i="3"/>
  <c r="CE49" i="3" s="1"/>
  <c r="AQ49" i="3"/>
  <c r="CF28" i="3"/>
  <c r="CE28" i="3" s="1"/>
  <c r="AQ28" i="3"/>
  <c r="AW28" i="3"/>
  <c r="AQ34" i="3"/>
  <c r="CF34" i="3"/>
  <c r="CE34" i="3" s="1"/>
  <c r="AV39" i="3"/>
  <c r="AW39" i="3"/>
  <c r="AS20" i="3"/>
  <c r="AW35" i="3"/>
  <c r="CF27" i="3"/>
  <c r="CE27" i="3" s="1"/>
  <c r="AQ27" i="3"/>
  <c r="AS18" i="3"/>
  <c r="AR18" i="3"/>
  <c r="AV49" i="3"/>
  <c r="AW49" i="3"/>
  <c r="AR44" i="3"/>
  <c r="AS44" i="3"/>
  <c r="AW15" i="3"/>
  <c r="AW46" i="3"/>
  <c r="AR7" i="3"/>
  <c r="AS7" i="3"/>
  <c r="CE2" i="3"/>
</calcChain>
</file>

<file path=xl/sharedStrings.xml><?xml version="1.0" encoding="utf-8"?>
<sst xmlns="http://schemas.openxmlformats.org/spreadsheetml/2006/main" count="65546" uniqueCount="1545">
  <si>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</si>
  <si>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</si>
  <si>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</si>
  <si>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</si>
  <si>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</si>
  <si>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</si>
  <si>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</si>
  <si>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</si>
  <si>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</si>
  <si>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</si>
  <si>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</si>
  <si>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</si>
  <si>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</si>
  <si>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</si>
  <si>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</si>
  <si>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</si>
  <si>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</si>
  <si>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</si>
  <si>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</si>
  <si>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</si>
  <si>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</si>
  <si>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</si>
  <si>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</si>
  <si>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</si>
  <si>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</si>
  <si>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</si>
  <si>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</si>
  <si>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</si>
  <si>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</si>
  <si>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</si>
  <si>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</si>
  <si>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</si>
  <si>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</si>
  <si>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</si>
  <si>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</si>
  <si>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</si>
  <si>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</si>
  <si>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</si>
  <si>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</si>
  <si>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</si>
  <si>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</si>
  <si>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</si>
  <si>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</si>
  <si>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</si>
  <si>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</si>
  <si>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</si>
  <si>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</si>
  <si>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</si>
  <si>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</si>
  <si>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</si>
  <si>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</si>
  <si>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</si>
  <si>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</si>
  <si>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</si>
  <si>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</si>
  <si>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</si>
  <si>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</si>
  <si>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</si>
  <si>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</si>
  <si>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</si>
  <si>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</si>
  <si>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</si>
  <si>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</si>
  <si>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</si>
  <si>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</si>
  <si>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</si>
  <si>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</si>
  <si>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</si>
  <si>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</si>
  <si>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</si>
  <si>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</si>
  <si>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</si>
  <si>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</si>
  <si>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</si>
  <si>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</si>
  <si>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</si>
  <si>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</si>
  <si>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</si>
  <si>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</si>
  <si>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</si>
  <si>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</si>
  <si>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</si>
  <si>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</si>
  <si>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</si>
  <si>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</si>
  <si>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</si>
  <si>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</si>
  <si>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</si>
  <si>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</si>
  <si>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</si>
  <si>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</si>
  <si>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</si>
  <si>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</si>
  <si>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</si>
  <si>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</si>
  <si>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</si>
  <si>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</si>
  <si>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</si>
  <si>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</si>
  <si>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</si>
  <si>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</si>
  <si>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</si>
  <si>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</si>
  <si>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</si>
  <si>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</si>
  <si>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</si>
  <si>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</si>
  <si>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</si>
  <si>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</si>
  <si>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</si>
  <si>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</si>
  <si>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</si>
  <si>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</si>
  <si>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</si>
  <si>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</si>
  <si>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</si>
  <si>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</si>
  <si>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</si>
  <si>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</si>
  <si>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</si>
  <si>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</si>
  <si>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</si>
  <si>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</si>
  <si>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</si>
  <si>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</si>
  <si>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</si>
  <si>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</si>
  <si>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</si>
  <si>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</si>
  <si>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</si>
  <si>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</si>
  <si>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</si>
  <si>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</si>
  <si>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</si>
  <si>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</si>
  <si>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</si>
  <si>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</si>
  <si>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</si>
  <si>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</si>
  <si>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</si>
  <si>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</si>
  <si>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</si>
  <si>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</si>
  <si>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</si>
  <si>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</si>
  <si>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</si>
  <si>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</si>
  <si>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</si>
  <si>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</si>
  <si>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</si>
  <si>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</si>
  <si>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</si>
  <si>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</si>
  <si>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</si>
  <si>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</si>
  <si>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</si>
  <si>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</si>
  <si>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</si>
  <si>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</si>
  <si>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</si>
  <si>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</si>
  <si>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</si>
  <si>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</si>
  <si>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</si>
  <si>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</si>
  <si>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</si>
  <si>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</si>
  <si>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</si>
  <si>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</si>
  <si>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</si>
  <si>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</si>
  <si>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</si>
  <si>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</si>
  <si>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</si>
  <si>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</si>
  <si>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</si>
  <si>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</si>
  <si>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</si>
  <si>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</si>
  <si>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</si>
  <si>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</si>
  <si>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</si>
  <si>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</si>
  <si>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</si>
  <si>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</si>
  <si>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</si>
  <si>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</si>
  <si>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</si>
  <si>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</si>
  <si>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</si>
  <si>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</si>
  <si>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</si>
  <si>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</si>
  <si>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</si>
  <si>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</si>
  <si>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</si>
  <si>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</si>
  <si>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</si>
  <si>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</si>
  <si>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</si>
  <si>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</si>
  <si>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</si>
  <si>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</si>
  <si>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</si>
  <si>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</si>
  <si>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</si>
  <si>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</si>
  <si>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</si>
  <si>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</si>
  <si>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</si>
  <si>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</si>
  <si>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</si>
  <si>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</si>
  <si>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</si>
  <si>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</si>
  <si>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</si>
  <si>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</si>
  <si>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</si>
  <si>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</si>
  <si>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</si>
  <si>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</si>
  <si>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</si>
  <si>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</si>
  <si>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</si>
  <si>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</si>
  <si>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</si>
  <si>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</si>
  <si>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</si>
  <si>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</si>
  <si>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</si>
  <si>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</si>
  <si>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</si>
  <si>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</si>
  <si>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</si>
  <si>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</si>
  <si>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</si>
  <si>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</si>
  <si>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</si>
  <si>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</si>
  <si>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</si>
  <si>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</si>
  <si>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</si>
  <si>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</si>
  <si>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</si>
  <si>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</si>
  <si>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</si>
  <si>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</si>
  <si>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</si>
  <si>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</si>
  <si>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</si>
  <si>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</si>
  <si>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</si>
  <si>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</si>
  <si>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</si>
  <si>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</si>
  <si>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</si>
  <si>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</si>
  <si>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</si>
  <si>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</si>
  <si>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</si>
  <si>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</si>
  <si>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</si>
  <si>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</si>
  <si>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</si>
  <si>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</si>
  <si>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</si>
  <si>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</si>
  <si>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</si>
  <si>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</si>
  <si>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</si>
  <si>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</si>
  <si>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</si>
  <si>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</si>
  <si>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</si>
  <si>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</si>
  <si>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</si>
  <si>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</si>
  <si>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</si>
  <si>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</si>
  <si>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</si>
  <si>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</si>
  <si>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</si>
  <si>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</si>
  <si>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</si>
  <si>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</si>
  <si>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</si>
  <si>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</si>
  <si>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</si>
  <si>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</si>
  <si>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</si>
  <si>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</si>
  <si>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</si>
  <si>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</si>
  <si>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</si>
  <si>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</si>
  <si>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</si>
  <si>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</si>
  <si>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</si>
  <si>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</si>
  <si>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</si>
  <si>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</si>
  <si>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</si>
  <si>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</si>
  <si>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</si>
  <si>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</si>
  <si>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</si>
  <si>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</si>
  <si>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</si>
  <si>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</si>
  <si>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</si>
  <si>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</si>
  <si>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</si>
  <si>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</si>
  <si>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</si>
  <si>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</si>
  <si>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</si>
  <si>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</si>
  <si>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</si>
  <si>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</si>
  <si>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</si>
  <si>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</si>
  <si>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</si>
  <si>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</si>
  <si>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</si>
  <si>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</si>
  <si>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</si>
  <si>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</si>
  <si>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</si>
  <si>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</si>
  <si>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</si>
  <si>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</si>
  <si>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</si>
  <si>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</si>
  <si>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</si>
  <si>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</si>
  <si>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</si>
  <si>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</si>
  <si>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</si>
  <si>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</si>
  <si>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</si>
  <si>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</si>
  <si>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</si>
  <si>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</si>
  <si>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</si>
  <si>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</si>
  <si>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</si>
  <si>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</si>
  <si>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</si>
  <si>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</si>
  <si>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</si>
  <si>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</si>
  <si>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</si>
  <si>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</si>
  <si>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</si>
  <si>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</si>
  <si>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</si>
  <si>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</si>
  <si>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</si>
  <si>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</si>
  <si>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</si>
  <si>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</si>
  <si>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</si>
  <si>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</si>
  <si>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</si>
  <si>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</si>
  <si>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</si>
  <si>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</si>
  <si>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</si>
  <si>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</si>
  <si>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</si>
  <si>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</si>
  <si>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</si>
  <si>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</si>
  <si>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</si>
  <si>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</si>
  <si>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</si>
  <si>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</si>
  <si>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</si>
  <si>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</si>
  <si>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</si>
  <si>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</si>
  <si>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</si>
  <si>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</si>
  <si>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</si>
  <si>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</si>
  <si>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</si>
  <si>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</si>
  <si>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</si>
  <si>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</si>
  <si>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</si>
  <si>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</si>
  <si>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</si>
  <si>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</si>
  <si>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</si>
  <si>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</si>
  <si>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</si>
  <si>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</si>
  <si>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</si>
  <si>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</si>
  <si>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</si>
  <si>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</si>
  <si>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</si>
  <si>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</si>
  <si>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</si>
  <si>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</si>
  <si>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</si>
  <si>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</si>
  <si>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</si>
  <si>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</si>
  <si>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</si>
  <si>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</si>
  <si>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</si>
  <si>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</si>
  <si>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</si>
  <si>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</si>
  <si>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</si>
  <si>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</si>
  <si>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</si>
  <si>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</si>
  <si>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</si>
  <si>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</si>
  <si>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</si>
  <si>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</si>
  <si>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</si>
  <si>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</si>
  <si>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</si>
  <si>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</si>
  <si>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</si>
  <si>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</si>
  <si>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</si>
  <si>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</si>
  <si>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</si>
  <si>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</si>
  <si>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</si>
  <si>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</si>
  <si>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</si>
  <si>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</si>
  <si>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</si>
  <si>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</si>
  <si>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</si>
  <si>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</si>
  <si>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</si>
  <si>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</si>
  <si>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</si>
  <si>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</si>
  <si>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</si>
  <si>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</si>
  <si>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</si>
  <si>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</si>
  <si>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</si>
  <si>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</si>
  <si>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</si>
  <si>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</si>
  <si>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</si>
  <si>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</si>
  <si>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</si>
  <si>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</si>
  <si>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</si>
  <si>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</si>
  <si>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</si>
  <si>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</si>
  <si>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</si>
  <si>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</si>
  <si>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</si>
  <si>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</si>
  <si>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</si>
  <si>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</si>
  <si>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</si>
  <si>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</si>
  <si>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</si>
  <si>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</si>
  <si>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</si>
  <si>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</si>
  <si>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</si>
  <si>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</si>
  <si>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</si>
  <si>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</si>
  <si>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</si>
  <si>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</si>
  <si>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</si>
  <si>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</si>
  <si>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</si>
  <si>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</si>
  <si>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</si>
  <si>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</si>
  <si>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</si>
  <si>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19.4</t>
  </si>
  <si>
    <t>15.5</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</si>
  <si>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</si>
  <si>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</si>
  <si>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</si>
  <si>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</si>
  <si>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</si>
  <si>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</si>
  <si>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</si>
  <si>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</si>
  <si>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</si>
  <si>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</si>
  <si>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</si>
  <si>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</si>
  <si>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</si>
  <si>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</si>
  <si>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</si>
  <si>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</si>
  <si>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</si>
  <si>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</si>
  <si>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</si>
  <si>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</si>
  <si>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</si>
  <si>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</si>
  <si>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</si>
  <si>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</si>
  <si>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</si>
  <si>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</si>
  <si>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</si>
  <si>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</si>
  <si>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</si>
  <si>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</si>
  <si>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</si>
  <si>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</si>
  <si>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</si>
  <si>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</si>
  <si>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</si>
  <si>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</si>
  <si>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</si>
  <si>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</si>
  <si>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</si>
  <si>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</si>
  <si>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</si>
  <si>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</si>
  <si>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</si>
  <si>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</si>
  <si>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</si>
  <si>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</si>
  <si>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</si>
  <si>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</si>
  <si>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</si>
  <si>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</si>
  <si>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</si>
  <si>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</si>
  <si>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</si>
  <si>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</si>
  <si>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</si>
  <si>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</si>
  <si>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</si>
  <si>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</si>
  <si>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</si>
  <si>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</si>
  <si>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</si>
  <si>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</si>
  <si>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</si>
  <si>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</si>
  <si>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</si>
  <si>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</si>
  <si>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</si>
  <si>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</si>
  <si>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</si>
  <si>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</si>
  <si>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</si>
  <si>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</si>
  <si>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</si>
  <si>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</si>
  <si>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</si>
  <si>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</si>
  <si>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</si>
  <si>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</si>
  <si>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</si>
  <si>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</si>
  <si>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</si>
  <si>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</si>
  <si>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</si>
  <si>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</si>
  <si>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</si>
  <si>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</si>
  <si>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</si>
  <si>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</si>
  <si>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</si>
  <si>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</si>
  <si>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</si>
  <si>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</si>
  <si>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</si>
  <si>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</si>
  <si>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</si>
  <si>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</si>
  <si>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</si>
  <si>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</si>
  <si>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</si>
  <si>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</si>
  <si>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</si>
  <si>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</si>
  <si>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</si>
  <si>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</si>
  <si>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</si>
  <si>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</si>
  <si>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</si>
  <si>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</si>
  <si>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</si>
  <si>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</si>
  <si>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</si>
  <si>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</si>
  <si>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</si>
  <si>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</si>
  <si>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</si>
  <si>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</si>
  <si>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</si>
  <si>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</si>
  <si>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</si>
  <si>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</si>
  <si>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</si>
  <si>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</si>
  <si>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</si>
  <si>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</si>
  <si>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</si>
  <si>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</si>
  <si>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</si>
  <si>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</si>
  <si>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</si>
  <si>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</si>
  <si>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</si>
  <si>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</si>
  <si>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</si>
  <si>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</si>
  <si>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</si>
  <si>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</si>
  <si>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</si>
  <si>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</si>
  <si>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</si>
  <si>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</si>
  <si>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</si>
  <si>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</si>
  <si>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</si>
  <si>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</si>
  <si>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</si>
  <si>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</si>
  <si>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</si>
  <si>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</si>
  <si>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</si>
  <si>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</si>
  <si>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</si>
  <si>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</si>
  <si>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</si>
  <si>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</si>
  <si>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</si>
  <si>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</si>
  <si>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</si>
  <si>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</si>
  <si>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</si>
  <si>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</si>
  <si>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</si>
  <si>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</si>
  <si>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</si>
  <si>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</si>
  <si>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</si>
  <si>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</si>
  <si>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</si>
  <si>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</si>
  <si>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</si>
  <si>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</si>
  <si>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</si>
  <si>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</si>
  <si>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</si>
  <si>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</si>
  <si>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</si>
  <si>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</si>
  <si>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</si>
  <si>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</si>
  <si>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</si>
  <si>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</si>
  <si>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</si>
  <si>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</si>
  <si>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</si>
  <si>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</si>
  <si>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</si>
  <si>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</si>
  <si>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</si>
  <si>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</si>
  <si>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</si>
  <si>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</si>
  <si>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</si>
  <si>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</si>
  <si>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</si>
  <si>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</si>
  <si>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</si>
  <si>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</si>
  <si>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</si>
  <si>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</si>
  <si>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</si>
  <si>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</si>
  <si>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</si>
  <si>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</si>
  <si>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</si>
  <si>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</si>
  <si>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</si>
  <si>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</si>
  <si>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</si>
  <si>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</si>
  <si>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</si>
  <si>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</si>
  <si>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</si>
  <si>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</si>
  <si>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</si>
  <si>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</si>
  <si>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</si>
  <si>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</si>
  <si>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</si>
  <si>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</si>
  <si>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</si>
  <si>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</si>
  <si>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</si>
  <si>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</si>
  <si>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</si>
  <si>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</si>
  <si>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</si>
  <si>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</si>
  <si>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</si>
  <si>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</si>
  <si>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</si>
  <si>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</si>
  <si>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</si>
  <si>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</si>
  <si>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</si>
  <si>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</si>
  <si>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</si>
  <si>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</si>
  <si>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</si>
  <si>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</si>
  <si>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</si>
  <si>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</si>
  <si>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</si>
  <si>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</si>
  <si>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</si>
  <si>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</si>
  <si>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</si>
  <si>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</si>
  <si>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</si>
  <si>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</si>
  <si>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</si>
  <si>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</si>
  <si>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</si>
  <si>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</si>
  <si>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</si>
  <si>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</si>
  <si>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</si>
  <si>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</si>
  <si>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</si>
  <si>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</si>
  <si>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</si>
  <si>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</si>
  <si>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</si>
  <si>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</si>
  <si>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</si>
  <si>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</si>
  <si>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</si>
  <si>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</si>
  <si>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</si>
  <si>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</si>
  <si>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</si>
  <si>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</si>
  <si>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</si>
  <si>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</si>
  <si>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</si>
  <si>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</si>
  <si>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</si>
  <si>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</si>
  <si>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</si>
  <si>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</si>
  <si>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</si>
  <si>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</si>
  <si>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</si>
  <si>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</si>
  <si>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</si>
  <si>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</si>
  <si>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</si>
  <si>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</si>
  <si>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</si>
  <si>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</si>
  <si>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</si>
  <si>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</si>
  <si>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</si>
  <si>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</si>
  <si>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</si>
  <si>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</si>
  <si>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</si>
  <si>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</si>
  <si>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</si>
  <si>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</si>
  <si>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</si>
  <si>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</si>
  <si>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</si>
  <si>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</si>
  <si>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</si>
  <si>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</si>
  <si>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</si>
  <si>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</si>
  <si>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</si>
  <si>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</si>
  <si>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</si>
  <si>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</si>
  <si>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</si>
  <si>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</si>
  <si>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</si>
  <si>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</si>
  <si>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</si>
  <si>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</si>
  <si>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</si>
  <si>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</si>
  <si>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</si>
  <si>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</si>
  <si>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</si>
  <si>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</si>
  <si>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</si>
  <si>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</si>
  <si>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</si>
  <si>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</si>
  <si>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</si>
  <si>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</si>
  <si>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</si>
  <si>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</si>
  <si>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</si>
  <si>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</si>
  <si>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</si>
  <si>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</si>
  <si>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</si>
  <si>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</si>
  <si>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</si>
  <si>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</si>
  <si>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</si>
  <si>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</si>
  <si>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</si>
  <si>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</si>
  <si>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</si>
  <si>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</si>
  <si>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</si>
  <si>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</si>
  <si>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</si>
  <si>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</si>
  <si>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</si>
  <si>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</si>
  <si>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</si>
  <si>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</si>
  <si>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</si>
  <si>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</si>
  <si>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</si>
  <si>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</si>
  <si>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</si>
  <si>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</si>
  <si>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</si>
  <si>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</si>
  <si>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</si>
  <si>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</si>
  <si>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</si>
  <si>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</si>
  <si>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</si>
  <si>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</si>
  <si>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</si>
  <si>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</si>
  <si>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</si>
  <si>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</si>
  <si>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</si>
  <si>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</si>
  <si>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</si>
  <si>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</si>
  <si>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</si>
  <si>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</si>
  <si>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</si>
  <si>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</si>
  <si>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</si>
  <si>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</si>
  <si>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</si>
  <si>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</si>
  <si>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</si>
  <si>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</si>
  <si>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</si>
  <si>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</si>
  <si>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</si>
  <si>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</si>
  <si>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</si>
  <si>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</si>
  <si>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</si>
  <si>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</si>
  <si>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</si>
  <si>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</si>
  <si>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</si>
  <si>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</si>
  <si>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</si>
  <si>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</si>
  <si>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</si>
  <si>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</si>
  <si>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</si>
  <si>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</si>
  <si>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</si>
  <si>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</si>
  <si>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</si>
  <si>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</si>
  <si>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</si>
  <si>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</si>
  <si>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</si>
  <si>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</si>
  <si>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</si>
  <si>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</si>
  <si>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</si>
  <si>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</si>
  <si>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</si>
  <si>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</si>
  <si>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</si>
  <si>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</si>
  <si>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</si>
  <si>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</si>
  <si>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</si>
  <si>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</si>
  <si>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</si>
  <si>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</si>
  <si>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</si>
  <si>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</si>
  <si>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</si>
  <si>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</si>
  <si>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</si>
  <si>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</si>
  <si>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</si>
  <si>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</si>
  <si>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</si>
  <si>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</si>
  <si>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</si>
  <si>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</si>
  <si>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</si>
  <si>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</si>
  <si>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</si>
  <si>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</si>
  <si>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</si>
  <si>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</si>
  <si>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</si>
  <si>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</si>
  <si>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</si>
  <si>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</si>
  <si>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</si>
  <si>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</si>
  <si>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</si>
  <si>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</si>
  <si>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</si>
  <si>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</si>
  <si>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</si>
  <si>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</si>
  <si>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</si>
  <si>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</si>
  <si>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</si>
  <si>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</si>
  <si>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</si>
  <si>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</si>
  <si>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</si>
  <si>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</si>
  <si>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</si>
  <si>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</si>
  <si>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</si>
  <si>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</si>
  <si>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</si>
  <si>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</si>
  <si>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</si>
  <si>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</si>
  <si>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</si>
  <si>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</si>
  <si>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</si>
  <si>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</si>
  <si>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</si>
  <si>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</si>
  <si>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</si>
  <si>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</si>
  <si>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</si>
  <si>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</si>
  <si>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</si>
  <si>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</si>
  <si>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</si>
  <si>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</si>
  <si>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</si>
  <si>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</si>
  <si>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</si>
  <si>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</si>
  <si>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</si>
  <si>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</si>
  <si>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</si>
  <si>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</si>
  <si>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</si>
  <si>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</si>
  <si>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</si>
  <si>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</si>
  <si>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</si>
  <si>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</si>
  <si>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</si>
  <si>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</si>
  <si>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</si>
  <si>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</si>
  <si>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</si>
  <si>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</si>
  <si>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</si>
  <si>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</si>
  <si>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</si>
  <si>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</si>
  <si>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</si>
  <si>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</si>
  <si>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</si>
  <si>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</si>
  <si>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</si>
  <si>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</si>
  <si>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</si>
  <si>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</si>
  <si>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</si>
  <si>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</si>
  <si>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</si>
  <si>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</si>
  <si>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</si>
  <si>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</si>
  <si>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</si>
  <si>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</si>
  <si>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</si>
  <si>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</si>
  <si>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</si>
  <si>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</si>
  <si>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</si>
  <si>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</si>
  <si>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</si>
  <si>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</si>
  <si>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</si>
  <si>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</si>
  <si>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</si>
  <si>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</si>
  <si>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</si>
  <si>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</si>
  <si>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</si>
  <si>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</si>
  <si>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</si>
  <si>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</si>
  <si>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</si>
  <si>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</si>
  <si>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</si>
  <si>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</si>
  <si>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</si>
  <si>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</si>
  <si>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</si>
  <si>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</si>
  <si>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</si>
  <si>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</si>
  <si>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</si>
  <si>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</si>
  <si>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</si>
  <si>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</si>
  <si>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</si>
  <si>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</si>
  <si>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</si>
  <si>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</si>
  <si>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</si>
  <si>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</si>
  <si>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</si>
  <si>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</si>
  <si>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</si>
  <si>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</si>
  <si>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</si>
  <si>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</si>
  <si>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</si>
  <si>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</si>
  <si>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</si>
  <si>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</si>
  <si>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</si>
  <si>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</si>
  <si>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</si>
  <si>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</si>
  <si>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</si>
  <si>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</si>
  <si>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</si>
  <si>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</si>
  <si>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</si>
  <si>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</si>
  <si>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</si>
  <si>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</si>
  <si>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</si>
  <si>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</si>
  <si>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</si>
  <si>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</si>
  <si>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</si>
  <si>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</si>
  <si>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</si>
  <si>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</si>
  <si>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</si>
  <si>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</si>
  <si>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</si>
  <si>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</si>
  <si>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</si>
  <si>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</si>
  <si>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</si>
  <si>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</si>
  <si>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</si>
  <si>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</si>
  <si>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</si>
  <si>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</si>
  <si>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</si>
  <si>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</si>
  <si>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</si>
  <si>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</si>
  <si>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</si>
  <si>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</si>
  <si>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</si>
  <si>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</si>
  <si>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</si>
  <si>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</si>
  <si>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</si>
  <si>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</si>
  <si>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</si>
  <si>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</si>
  <si>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</si>
  <si>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</si>
  <si>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</si>
  <si>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</si>
  <si>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</si>
  <si>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</si>
  <si>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</si>
  <si>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</si>
  <si>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</si>
  <si>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</si>
  <si>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</si>
  <si>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</si>
  <si>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</si>
  <si>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</si>
  <si>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</si>
  <si>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</si>
  <si>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</si>
  <si>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</si>
  <si>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</si>
  <si>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</si>
  <si>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</si>
  <si>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</si>
  <si>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</si>
  <si>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</si>
  <si>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</si>
  <si>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</si>
  <si>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</si>
  <si>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</si>
  <si>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</si>
  <si>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</si>
  <si>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</si>
  <si>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</si>
  <si>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</si>
  <si>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</si>
  <si>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</si>
  <si>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</si>
  <si>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</si>
  <si>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</si>
  <si>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</si>
  <si>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</si>
  <si>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</si>
  <si>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</si>
  <si>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</si>
  <si>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</si>
  <si>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</si>
  <si>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</si>
  <si>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</si>
  <si>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</si>
  <si>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</si>
  <si>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</si>
  <si>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</si>
  <si>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</si>
  <si>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</si>
  <si>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</si>
  <si>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</si>
  <si>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</si>
  <si>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</si>
  <si>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</si>
  <si>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</si>
  <si>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</si>
  <si>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</si>
  <si>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</si>
  <si>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</si>
  <si>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</si>
  <si>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</si>
  <si>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</si>
  <si>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</si>
  <si>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</si>
  <si>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</si>
  <si>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</si>
  <si>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</si>
  <si>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</si>
  <si>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</si>
  <si>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</si>
  <si>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</si>
  <si>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</si>
  <si>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</si>
  <si>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</si>
  <si>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</si>
  <si>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</si>
  <si>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</si>
  <si>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</si>
  <si>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</si>
  <si>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</si>
  <si>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</si>
  <si>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</si>
  <si>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</si>
  <si>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</si>
  <si>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</si>
  <si>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</si>
  <si>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</si>
  <si>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</si>
  <si>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</si>
  <si>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</si>
  <si>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</si>
  <si>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</si>
  <si>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</si>
  <si>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</si>
  <si>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</si>
  <si>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</si>
  <si>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</si>
  <si>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</si>
  <si>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</si>
  <si>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</si>
  <si>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</si>
  <si>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</si>
  <si>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</si>
  <si>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</si>
  <si>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</si>
  <si>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</si>
  <si>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</si>
  <si>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</si>
  <si>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</si>
  <si>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</si>
  <si>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</si>
  <si>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</si>
  <si>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</si>
  <si>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</si>
  <si>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</si>
  <si>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</si>
  <si>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</si>
  <si>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</si>
  <si>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</si>
  <si>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</si>
  <si>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</si>
  <si>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</si>
  <si>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</si>
  <si>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</si>
  <si>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</si>
  <si>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</si>
  <si>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</si>
  <si>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</si>
  <si>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</si>
  <si>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</si>
  <si>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</si>
  <si>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</si>
  <si>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</si>
  <si>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</si>
  <si>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</si>
  <si>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</si>
  <si>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</si>
  <si>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</si>
  <si>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</si>
  <si>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</si>
  <si>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</si>
  <si>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</si>
  <si>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</si>
  <si>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</si>
  <si>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</si>
  <si>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</si>
  <si>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</si>
  <si>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</si>
  <si>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</si>
  <si>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</si>
  <si>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</si>
  <si>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</si>
  <si>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</si>
  <si>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</si>
  <si>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</si>
  <si>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</si>
  <si>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</si>
  <si>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</si>
  <si>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</si>
  <si>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</si>
  <si>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</si>
  <si>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</si>
  <si>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</si>
  <si>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</si>
  <si>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</si>
  <si>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</si>
  <si>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</si>
  <si>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</si>
  <si>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</si>
  <si>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</si>
  <si>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</si>
  <si>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</si>
  <si>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</si>
  <si>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</si>
  <si>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</si>
  <si>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</si>
  <si>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</si>
  <si>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</si>
  <si>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</si>
  <si>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</si>
  <si>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</si>
  <si>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</si>
  <si>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</si>
  <si>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</si>
  <si>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</si>
  <si>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</si>
  <si>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</si>
  <si>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</si>
  <si>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</si>
  <si>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</si>
  <si>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</si>
  <si>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</si>
  <si>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</si>
  <si>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</si>
  <si>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</si>
  <si>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</si>
  <si>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</si>
  <si>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</si>
  <si>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</si>
  <si>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</si>
  <si>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</si>
  <si>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</si>
  <si>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</si>
  <si>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</si>
  <si>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</si>
  <si>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</si>
  <si>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</si>
  <si>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</si>
  <si>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</si>
  <si>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</si>
  <si>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</si>
  <si>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</si>
  <si>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</si>
  <si>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</si>
  <si>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</si>
  <si>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</si>
  <si>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</si>
  <si>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</si>
  <si>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</si>
  <si>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</si>
  <si>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</si>
  <si>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</si>
  <si>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</si>
  <si>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</si>
  <si>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</si>
  <si>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</si>
  <si>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</si>
  <si>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</si>
  <si>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</si>
  <si>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</si>
  <si>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</si>
  <si>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</si>
  <si>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</si>
  <si>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</si>
  <si>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</si>
  <si>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</si>
  <si>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</si>
  <si>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</si>
  <si>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</si>
  <si>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</si>
  <si>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</si>
  <si>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</si>
  <si>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</si>
  <si>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</si>
  <si>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</si>
  <si>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</si>
  <si>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</si>
  <si>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</si>
  <si>
    <t>PTER1-1/2"X2.50mm</t>
  </si>
  <si>
    <t>PTER1-1/2"X3.00mm</t>
  </si>
  <si>
    <t>PTER2"X2.50mm</t>
  </si>
  <si>
    <t>PTER2"X3.00mm</t>
  </si>
  <si>
    <t>PTER2"X4.00mm</t>
  </si>
  <si>
    <t>PTER2-1/2"X2.50mm</t>
  </si>
  <si>
    <t>PTER2-1/2"X3.00mm</t>
  </si>
  <si>
    <t>PTER3"X2.50mm</t>
  </si>
  <si>
    <t>PTER3"X3.00mm</t>
  </si>
  <si>
    <t>PTER4"X3.00mm</t>
  </si>
  <si>
    <t>PTER4"X4.00mm</t>
  </si>
  <si>
    <t>PTER4"X6.00mm</t>
  </si>
  <si>
    <t>PTER6"X6.00mm</t>
  </si>
  <si>
    <t>PTER6"X4.00mm</t>
  </si>
  <si>
    <t>PTER8"X5.00mm</t>
  </si>
  <si>
    <t>PTER8"X8.00mm</t>
  </si>
  <si>
    <t>PTER10"X9.00mm</t>
  </si>
  <si>
    <t>PTER12"X10.00mm</t>
  </si>
  <si>
    <t>PTER16"X12.70mm</t>
  </si>
  <si>
    <t>PTER20"X12.70mm</t>
  </si>
  <si>
    <t>PTER24"X12.70mm</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</si>
  <si>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</si>
  <si>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</si>
  <si>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</si>
  <si>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</si>
  <si>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</si>
  <si>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</si>
  <si>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</si>
  <si>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</si>
  <si>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</si>
  <si>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</si>
  <si>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</si>
  <si>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</si>
  <si>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</si>
  <si>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</si>
  <si>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</si>
  <si>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</si>
  <si>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</si>
  <si>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</si>
  <si>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</si>
  <si>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</si>
  <si>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</si>
  <si>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</si>
  <si>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</si>
  <si>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</si>
  <si>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HEA 180</t>
  </si>
  <si>
    <t>HEA 200</t>
  </si>
  <si>
    <t>HEB 160</t>
  </si>
  <si>
    <t>HEB 180</t>
  </si>
  <si>
    <t>HEB 200</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</si>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</sst>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7">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
      <sz val="10"/>
      <color rgb="FF000000"/>
      <name val="Arial"/>
      <family val="2"/>
    </font>
  </fonts>
  <fills count="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6" fillId="0" borderId="0"/>
  </cellStyleXfs>
  <cellXfs count="170">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2" fontId="0" fillId="0" borderId="1" xfId="0" applyNumberFormat="1" applyBorder="1"/>
    <xf numFmtId="0" fontId="2" fillId="0" borderId="3" xfId="0" applyFont="1" applyBorder="1"/>
    <xf numFmtId="0" fontId="0" fillId="0" borderId="3" xfId="0" applyBorder="1"/>
    <xf numFmtId="0" fontId="0" fillId="0" borderId="14" xfId="0" applyBorder="1"/>
    <xf numFmtId="2" fontId="2" fillId="4" borderId="1" xfId="0" applyNumberFormat="1" applyFont="1" applyFill="1" applyBorder="1" applyAlignment="1">
      <alignment horizontal="center"/>
    </xf>
    <xf numFmtId="2" fontId="0" fillId="4" borderId="1" xfId="0" applyNumberFormat="1" applyFill="1" applyBorder="1" applyAlignment="1">
      <alignment horizontal="center"/>
    </xf>
    <xf numFmtId="0" fontId="16" fillId="4" borderId="1" xfId="0" applyFont="1" applyFill="1" applyBorder="1" applyAlignment="1">
      <alignment horizontal="center"/>
    </xf>
    <xf numFmtId="2" fontId="27" fillId="4" borderId="1" xfId="0" applyNumberFormat="1" applyFont="1" applyFill="1" applyBorder="1" applyAlignment="1">
      <alignment horizontal="center"/>
    </xf>
    <xf numFmtId="2" fontId="0" fillId="4" borderId="0" xfId="0" applyNumberFormat="1" applyFill="1" applyAlignment="1">
      <alignment horizontal="center"/>
    </xf>
    <xf numFmtId="0" fontId="36" fillId="0" borderId="1" xfId="0" applyFont="1" applyBorder="1" applyAlignment="1">
      <alignment horizontal="right" wrapText="1"/>
    </xf>
    <xf numFmtId="2" fontId="36" fillId="0" borderId="1" xfId="0" applyNumberFormat="1" applyFont="1" applyBorder="1" applyAlignment="1">
      <alignment horizontal="right" wrapText="1"/>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4" fillId="2" borderId="3" xfId="0" applyFont="1" applyFill="1" applyBorder="1" applyAlignment="1">
      <alignment horizontal="center" vertical="center"/>
    </xf>
    <xf numFmtId="0" fontId="14" fillId="2" borderId="4" xfId="0" applyFont="1" applyFill="1" applyBorder="1" applyAlignment="1">
      <alignment horizontal="center" vertical="center"/>
    </xf>
    <xf numFmtId="0" fontId="14" fillId="0" borderId="1" xfId="0" applyFont="1" applyBorder="1" applyAlignment="1">
      <alignment horizontal="left" vertical="top" wrapText="1"/>
    </xf>
    <xf numFmtId="0" fontId="14" fillId="2" borderId="8" xfId="0" applyFont="1" applyFill="1" applyBorder="1" applyAlignment="1">
      <alignment horizontal="center" vertical="center"/>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2" borderId="1" xfId="0" applyFont="1" applyFill="1" applyBorder="1" applyAlignment="1">
      <alignment horizontal="left" vertical="top"/>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3" xfId="0" applyFont="1" applyFill="1" applyBorder="1" applyAlignment="1">
      <alignment horizontal="left" vertical="top"/>
    </xf>
    <xf numFmtId="0" fontId="14" fillId="0" borderId="3" xfId="0" applyFont="1" applyBorder="1" applyAlignment="1">
      <alignment horizontal="left" vertical="top"/>
    </xf>
    <xf numFmtId="0" fontId="29" fillId="2" borderId="1" xfId="0" applyFont="1" applyFill="1" applyBorder="1" applyAlignment="1">
      <alignment horizontal="left" vertical="top"/>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29" fillId="0" borderId="1" xfId="0" applyFont="1" applyBorder="1" applyAlignment="1">
      <alignment horizontal="left" vertical="top"/>
    </xf>
    <xf numFmtId="0" fontId="14" fillId="0" borderId="1" xfId="0" applyFont="1" applyBorder="1" applyAlignment="1">
      <alignment horizontal="left" vertical="top"/>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9" fillId="0" borderId="8" xfId="0" applyFont="1" applyBorder="1" applyAlignment="1">
      <alignment horizontal="center" vertical="center"/>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2" fillId="0" borderId="1" xfId="0" applyFont="1" applyBorder="1" applyAlignment="1">
      <alignment horizontal="center" vertical="center" wrapText="1"/>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40" workbookViewId="0">
      <selection activeCell="Q107" sqref="Q107"/>
    </sheetView>
  </sheetViews>
  <sheetFormatPr baseColWidth="10" defaultColWidth="9.1796875" defaultRowHeight="14.5"/>
  <cols>
    <col min="1" max="1" width="1.453125" style="5" customWidth="1"/>
    <col min="2" max="2" width="9.1796875" style="5"/>
    <col min="3" max="3" width="12.81640625" style="5" customWidth="1"/>
    <col min="4" max="13" width="9.1796875" style="5"/>
    <col min="14" max="14" width="1.453125" style="5" customWidth="1"/>
    <col min="15" max="16384" width="9.1796875" style="5"/>
  </cols>
  <sheetData>
    <row r="1" spans="2:13" ht="6.75" customHeight="1" thickBot="1">
      <c r="B1" s="6"/>
      <c r="C1" s="6"/>
      <c r="D1" s="6"/>
      <c r="E1" s="6"/>
      <c r="F1" s="6"/>
      <c r="G1" s="6"/>
      <c r="H1" s="6"/>
      <c r="I1" s="6"/>
      <c r="J1" s="6"/>
      <c r="K1" s="6"/>
      <c r="L1" s="6"/>
      <c r="M1" s="6"/>
    </row>
    <row r="2" spans="2:13" ht="18.5">
      <c r="B2" s="7"/>
      <c r="C2" s="7"/>
      <c r="D2" s="163" t="s">
        <v>1194</v>
      </c>
      <c r="E2" s="163"/>
      <c r="F2" s="163"/>
      <c r="G2" s="163"/>
      <c r="H2" s="163"/>
      <c r="I2" s="163"/>
      <c r="J2" s="163"/>
      <c r="K2" s="163"/>
      <c r="L2" s="7"/>
      <c r="M2" s="7"/>
    </row>
    <row r="3" spans="2:13" ht="15.5">
      <c r="B3" s="8"/>
      <c r="C3" s="8"/>
      <c r="D3" s="164" t="s">
        <v>292</v>
      </c>
      <c r="E3" s="164"/>
      <c r="F3" s="164"/>
      <c r="G3" s="164"/>
      <c r="H3" s="164"/>
      <c r="I3" s="164"/>
      <c r="J3" s="164"/>
      <c r="K3" s="164"/>
      <c r="L3" s="8"/>
      <c r="M3" s="8"/>
    </row>
    <row r="4" spans="2:13">
      <c r="B4" s="8"/>
      <c r="C4" s="8"/>
      <c r="D4" s="9"/>
      <c r="E4" s="9"/>
      <c r="F4" s="9"/>
      <c r="G4" s="9"/>
      <c r="H4" s="9"/>
      <c r="I4" s="9"/>
      <c r="J4" s="9"/>
      <c r="K4" s="9"/>
      <c r="L4" s="8"/>
      <c r="M4" s="8"/>
    </row>
    <row r="5" spans="2:13">
      <c r="B5" s="8"/>
      <c r="C5" s="8"/>
      <c r="D5" s="165" t="s">
        <v>1195</v>
      </c>
      <c r="E5" s="165"/>
      <c r="F5" s="165"/>
      <c r="G5" s="165"/>
      <c r="H5" s="165"/>
      <c r="I5" s="165"/>
      <c r="J5" s="165"/>
      <c r="K5" s="165"/>
      <c r="L5" s="8"/>
      <c r="M5" s="8"/>
    </row>
    <row r="6" spans="2:13" ht="15" thickBot="1">
      <c r="B6" s="6"/>
      <c r="C6" s="6"/>
      <c r="D6" s="6"/>
      <c r="E6" s="6"/>
      <c r="F6" s="6"/>
      <c r="G6" s="6"/>
      <c r="H6" s="6"/>
      <c r="I6" s="6"/>
      <c r="J6" s="6"/>
      <c r="K6" s="6"/>
      <c r="L6" s="6"/>
      <c r="M6" s="6"/>
    </row>
    <row r="7" spans="2:13">
      <c r="B7" s="166"/>
      <c r="C7" s="166"/>
      <c r="D7" s="166"/>
      <c r="E7" s="166"/>
      <c r="F7" s="166"/>
      <c r="G7" s="166"/>
      <c r="H7" s="166"/>
      <c r="I7" s="166"/>
      <c r="J7" s="166"/>
      <c r="K7" s="166"/>
      <c r="L7" s="166"/>
      <c r="M7" s="166"/>
    </row>
    <row r="8" spans="2:13">
      <c r="B8" s="167" t="s">
        <v>293</v>
      </c>
      <c r="C8" s="167"/>
      <c r="D8" s="167"/>
      <c r="E8" s="167"/>
      <c r="F8" s="167"/>
      <c r="G8" s="167"/>
      <c r="H8" s="167"/>
      <c r="I8" s="167"/>
      <c r="J8" s="167"/>
      <c r="K8" s="167"/>
      <c r="L8" s="167"/>
      <c r="M8" s="167"/>
    </row>
    <row r="9" spans="2:13" ht="15" customHeight="1">
      <c r="B9" s="168" t="s">
        <v>294</v>
      </c>
      <c r="C9" s="168"/>
      <c r="D9" s="168"/>
      <c r="E9" s="168"/>
      <c r="F9" s="168"/>
      <c r="G9" s="168"/>
      <c r="H9" s="168"/>
      <c r="I9" s="168"/>
      <c r="J9" s="168"/>
      <c r="K9" s="168"/>
      <c r="L9" s="168"/>
      <c r="M9" s="168"/>
    </row>
    <row r="10" spans="2:13">
      <c r="B10" s="168"/>
      <c r="C10" s="168"/>
      <c r="D10" s="168"/>
      <c r="E10" s="168"/>
      <c r="F10" s="168"/>
      <c r="G10" s="168"/>
      <c r="H10" s="168"/>
      <c r="I10" s="168"/>
      <c r="J10" s="168"/>
      <c r="K10" s="168"/>
      <c r="L10" s="168"/>
      <c r="M10" s="168"/>
    </row>
    <row r="11" spans="2:13">
      <c r="B11" s="168"/>
      <c r="C11" s="168"/>
      <c r="D11" s="168"/>
      <c r="E11" s="168"/>
      <c r="F11" s="168"/>
      <c r="G11" s="168"/>
      <c r="H11" s="168"/>
      <c r="I11" s="168"/>
      <c r="J11" s="168"/>
      <c r="K11" s="168"/>
      <c r="L11" s="168"/>
      <c r="M11" s="168"/>
    </row>
    <row r="12" spans="2:13">
      <c r="B12" s="168"/>
      <c r="C12" s="168"/>
      <c r="D12" s="168"/>
      <c r="E12" s="168"/>
      <c r="F12" s="168"/>
      <c r="G12" s="168"/>
      <c r="H12" s="168"/>
      <c r="I12" s="168"/>
      <c r="J12" s="168"/>
      <c r="K12" s="168"/>
      <c r="L12" s="168"/>
      <c r="M12" s="168"/>
    </row>
    <row r="13" spans="2:13">
      <c r="B13" s="168"/>
      <c r="C13" s="168"/>
      <c r="D13" s="168"/>
      <c r="E13" s="168"/>
      <c r="F13" s="168"/>
      <c r="G13" s="168"/>
      <c r="H13" s="168"/>
      <c r="I13" s="168"/>
      <c r="J13" s="168"/>
      <c r="K13" s="168"/>
      <c r="L13" s="168"/>
      <c r="M13" s="168"/>
    </row>
    <row r="14" spans="2:13">
      <c r="B14" s="168"/>
      <c r="C14" s="168"/>
      <c r="D14" s="168"/>
      <c r="E14" s="168"/>
      <c r="F14" s="168"/>
      <c r="G14" s="168"/>
      <c r="H14" s="168"/>
      <c r="I14" s="168"/>
      <c r="J14" s="168"/>
      <c r="K14" s="168"/>
      <c r="L14" s="168"/>
      <c r="M14" s="168"/>
    </row>
    <row r="15" spans="2:13">
      <c r="B15" s="168"/>
      <c r="C15" s="168"/>
      <c r="D15" s="168"/>
      <c r="E15" s="168"/>
      <c r="F15" s="168"/>
      <c r="G15" s="168"/>
      <c r="H15" s="168"/>
      <c r="I15" s="168"/>
      <c r="J15" s="168"/>
      <c r="K15" s="168"/>
      <c r="L15" s="168"/>
      <c r="M15" s="168"/>
    </row>
    <row r="16" spans="2:13">
      <c r="B16" s="168"/>
      <c r="C16" s="168"/>
      <c r="D16" s="168"/>
      <c r="E16" s="168"/>
      <c r="F16" s="168"/>
      <c r="G16" s="168"/>
      <c r="H16" s="168"/>
      <c r="I16" s="168"/>
      <c r="J16" s="168"/>
      <c r="K16" s="168"/>
      <c r="L16" s="168"/>
      <c r="M16" s="168"/>
    </row>
    <row r="17" spans="2:13">
      <c r="B17" s="168"/>
      <c r="C17" s="168"/>
      <c r="D17" s="168"/>
      <c r="E17" s="168"/>
      <c r="F17" s="168"/>
      <c r="G17" s="168"/>
      <c r="H17" s="168"/>
      <c r="I17" s="168"/>
      <c r="J17" s="168"/>
      <c r="K17" s="168"/>
      <c r="L17" s="168"/>
      <c r="M17" s="168"/>
    </row>
    <row r="18" spans="2:13">
      <c r="B18" s="168"/>
      <c r="C18" s="168"/>
      <c r="D18" s="168"/>
      <c r="E18" s="168"/>
      <c r="F18" s="168"/>
      <c r="G18" s="168"/>
      <c r="H18" s="168"/>
      <c r="I18" s="168"/>
      <c r="J18" s="168"/>
      <c r="K18" s="168"/>
      <c r="L18" s="168"/>
      <c r="M18" s="168"/>
    </row>
    <row r="19" spans="2:13">
      <c r="B19" s="168"/>
      <c r="C19" s="168"/>
      <c r="D19" s="168"/>
      <c r="E19" s="168"/>
      <c r="F19" s="168"/>
      <c r="G19" s="168"/>
      <c r="H19" s="168"/>
      <c r="I19" s="168"/>
      <c r="J19" s="168"/>
      <c r="K19" s="168"/>
      <c r="L19" s="168"/>
      <c r="M19" s="168"/>
    </row>
    <row r="20" spans="2:13">
      <c r="B20" s="10" t="s">
        <v>1196</v>
      </c>
      <c r="C20" s="11"/>
      <c r="D20" s="11"/>
      <c r="E20" s="11"/>
      <c r="F20" s="11"/>
      <c r="G20" s="11"/>
      <c r="H20" s="11"/>
      <c r="I20" s="11"/>
      <c r="J20" s="11"/>
      <c r="K20" s="11"/>
      <c r="L20" s="11"/>
      <c r="M20" s="11"/>
    </row>
    <row r="21" spans="2:13" ht="15" customHeight="1">
      <c r="B21" s="155" t="s">
        <v>1197</v>
      </c>
      <c r="C21" s="156"/>
      <c r="D21" s="156"/>
      <c r="E21" s="156"/>
      <c r="F21" s="156"/>
      <c r="G21" s="156"/>
      <c r="H21" s="156"/>
      <c r="I21" s="156"/>
      <c r="J21" s="156"/>
      <c r="K21" s="156"/>
      <c r="L21" s="156"/>
      <c r="M21" s="156"/>
    </row>
    <row r="22" spans="2:13">
      <c r="B22" s="155"/>
      <c r="C22" s="156"/>
      <c r="D22" s="156"/>
      <c r="E22" s="156"/>
      <c r="F22" s="156"/>
      <c r="G22" s="156"/>
      <c r="H22" s="156"/>
      <c r="I22" s="156"/>
      <c r="J22" s="156"/>
      <c r="K22" s="156"/>
      <c r="L22" s="156"/>
      <c r="M22" s="156"/>
    </row>
    <row r="23" spans="2:13">
      <c r="B23" s="156"/>
      <c r="C23" s="156"/>
      <c r="D23" s="156"/>
      <c r="E23" s="156"/>
      <c r="F23" s="156"/>
      <c r="G23" s="156"/>
      <c r="H23" s="156"/>
      <c r="I23" s="156"/>
      <c r="J23" s="156"/>
      <c r="K23" s="156"/>
      <c r="L23" s="156"/>
      <c r="M23" s="156"/>
    </row>
    <row r="24" spans="2:13">
      <c r="B24" s="10" t="s">
        <v>295</v>
      </c>
      <c r="C24" s="12"/>
      <c r="D24" s="12"/>
      <c r="E24" s="12"/>
      <c r="F24" s="12"/>
      <c r="G24" s="12"/>
      <c r="H24" s="12"/>
      <c r="I24" s="12"/>
      <c r="J24" s="12"/>
      <c r="K24" s="12"/>
      <c r="L24" s="12"/>
      <c r="M24" s="12"/>
    </row>
    <row r="25" spans="2:13">
      <c r="B25" s="157" t="s">
        <v>296</v>
      </c>
      <c r="C25" s="157"/>
      <c r="D25" s="157"/>
      <c r="E25" s="157"/>
      <c r="F25" s="157"/>
      <c r="G25" s="157"/>
      <c r="H25" s="157"/>
      <c r="I25" s="157"/>
      <c r="J25" s="157"/>
      <c r="K25" s="157"/>
      <c r="L25" s="157"/>
      <c r="M25" s="157"/>
    </row>
    <row r="26" spans="2:13">
      <c r="B26" s="12"/>
      <c r="C26" s="12"/>
      <c r="D26" s="12"/>
      <c r="E26" s="12"/>
      <c r="F26" s="12"/>
      <c r="G26" s="12"/>
      <c r="H26" s="12"/>
      <c r="I26" s="12"/>
      <c r="J26" s="12"/>
      <c r="K26" s="12"/>
      <c r="L26" s="12"/>
      <c r="M26" s="12"/>
    </row>
    <row r="27" spans="2:13" ht="15" customHeight="1">
      <c r="B27" s="158" t="s">
        <v>1198</v>
      </c>
      <c r="C27" s="160" t="s">
        <v>297</v>
      </c>
      <c r="D27" s="162" t="s">
        <v>1199</v>
      </c>
      <c r="E27" s="162"/>
      <c r="F27" s="162"/>
      <c r="G27" s="162"/>
      <c r="H27" s="162"/>
      <c r="I27" s="162"/>
      <c r="J27" s="162"/>
      <c r="K27" s="162"/>
      <c r="L27" s="162"/>
      <c r="M27" s="162"/>
    </row>
    <row r="28" spans="2:13">
      <c r="B28" s="159"/>
      <c r="C28" s="161"/>
      <c r="D28" s="162"/>
      <c r="E28" s="162"/>
      <c r="F28" s="162"/>
      <c r="G28" s="162"/>
      <c r="H28" s="162"/>
      <c r="I28" s="162"/>
      <c r="J28" s="162"/>
      <c r="K28" s="162"/>
      <c r="L28" s="162"/>
      <c r="M28" s="162"/>
    </row>
    <row r="29" spans="2:13">
      <c r="B29" s="14" t="s">
        <v>298</v>
      </c>
      <c r="C29" s="13" t="s">
        <v>299</v>
      </c>
      <c r="D29" s="125" t="s">
        <v>300</v>
      </c>
      <c r="E29" s="125"/>
      <c r="F29" s="125"/>
      <c r="G29" s="125"/>
      <c r="H29" s="125"/>
      <c r="I29" s="125"/>
      <c r="J29" s="125"/>
      <c r="K29" s="125"/>
      <c r="L29" s="125"/>
      <c r="M29" s="125"/>
    </row>
    <row r="30" spans="2:13" ht="15" customHeight="1">
      <c r="B30" s="86" t="s">
        <v>301</v>
      </c>
      <c r="C30" s="169" t="s">
        <v>1200</v>
      </c>
      <c r="D30" s="126" t="s">
        <v>302</v>
      </c>
      <c r="E30" s="127"/>
      <c r="F30" s="127"/>
      <c r="G30" s="127"/>
      <c r="H30" s="127"/>
      <c r="I30" s="127"/>
      <c r="J30" s="127"/>
      <c r="K30" s="127"/>
      <c r="L30" s="127"/>
      <c r="M30" s="128"/>
    </row>
    <row r="31" spans="2:13">
      <c r="B31" s="89"/>
      <c r="C31" s="169"/>
      <c r="D31" s="146"/>
      <c r="E31" s="147"/>
      <c r="F31" s="147"/>
      <c r="G31" s="147"/>
      <c r="H31" s="147"/>
      <c r="I31" s="147"/>
      <c r="J31" s="147"/>
      <c r="K31" s="147"/>
      <c r="L31" s="147"/>
      <c r="M31" s="148"/>
    </row>
    <row r="32" spans="2:13" ht="9" customHeight="1">
      <c r="B32" s="87"/>
      <c r="C32" s="169"/>
      <c r="D32" s="142"/>
      <c r="E32" s="143"/>
      <c r="F32" s="143"/>
      <c r="G32" s="143"/>
      <c r="H32" s="143"/>
      <c r="I32" s="143"/>
      <c r="J32" s="143"/>
      <c r="K32" s="143"/>
      <c r="L32" s="143"/>
      <c r="M32" s="144"/>
    </row>
    <row r="33" spans="2:13" ht="15" customHeight="1">
      <c r="B33" s="86" t="s">
        <v>303</v>
      </c>
      <c r="C33" s="152" t="s">
        <v>1201</v>
      </c>
      <c r="D33" s="126" t="s">
        <v>1202</v>
      </c>
      <c r="E33" s="127"/>
      <c r="F33" s="127"/>
      <c r="G33" s="127"/>
      <c r="H33" s="127"/>
      <c r="I33" s="127"/>
      <c r="J33" s="127"/>
      <c r="K33" s="127"/>
      <c r="L33" s="127"/>
      <c r="M33" s="128"/>
    </row>
    <row r="34" spans="2:13">
      <c r="B34" s="89"/>
      <c r="C34" s="153"/>
      <c r="D34" s="146"/>
      <c r="E34" s="147"/>
      <c r="F34" s="147"/>
      <c r="G34" s="147"/>
      <c r="H34" s="147"/>
      <c r="I34" s="147"/>
      <c r="J34" s="147"/>
      <c r="K34" s="147"/>
      <c r="L34" s="147"/>
      <c r="M34" s="148"/>
    </row>
    <row r="35" spans="2:13">
      <c r="B35" s="89"/>
      <c r="C35" s="153"/>
      <c r="D35" s="146"/>
      <c r="E35" s="147"/>
      <c r="F35" s="147"/>
      <c r="G35" s="147"/>
      <c r="H35" s="147"/>
      <c r="I35" s="147"/>
      <c r="J35" s="147"/>
      <c r="K35" s="147"/>
      <c r="L35" s="147"/>
      <c r="M35" s="148"/>
    </row>
    <row r="36" spans="2:13">
      <c r="B36" s="87"/>
      <c r="C36" s="154"/>
      <c r="D36" s="142"/>
      <c r="E36" s="143"/>
      <c r="F36" s="143"/>
      <c r="G36" s="143"/>
      <c r="H36" s="143"/>
      <c r="I36" s="143"/>
      <c r="J36" s="143"/>
      <c r="K36" s="143"/>
      <c r="L36" s="143"/>
      <c r="M36" s="144"/>
    </row>
    <row r="37" spans="2:13" ht="15" customHeight="1">
      <c r="B37" s="86" t="s">
        <v>304</v>
      </c>
      <c r="C37" s="149" t="s">
        <v>1203</v>
      </c>
      <c r="D37" s="126" t="s">
        <v>305</v>
      </c>
      <c r="E37" s="127"/>
      <c r="F37" s="127"/>
      <c r="G37" s="127"/>
      <c r="H37" s="127"/>
      <c r="I37" s="127"/>
      <c r="J37" s="127"/>
      <c r="K37" s="127"/>
      <c r="L37" s="127"/>
      <c r="M37" s="128"/>
    </row>
    <row r="38" spans="2:13">
      <c r="B38" s="89"/>
      <c r="C38" s="150"/>
      <c r="D38" s="146"/>
      <c r="E38" s="147"/>
      <c r="F38" s="147"/>
      <c r="G38" s="147"/>
      <c r="H38" s="147"/>
      <c r="I38" s="147"/>
      <c r="J38" s="147"/>
      <c r="K38" s="147"/>
      <c r="L38" s="147"/>
      <c r="M38" s="148"/>
    </row>
    <row r="39" spans="2:13">
      <c r="B39" s="89"/>
      <c r="C39" s="150"/>
      <c r="D39" s="146"/>
      <c r="E39" s="147"/>
      <c r="F39" s="147"/>
      <c r="G39" s="147"/>
      <c r="H39" s="147"/>
      <c r="I39" s="147"/>
      <c r="J39" s="147"/>
      <c r="K39" s="147"/>
      <c r="L39" s="147"/>
      <c r="M39" s="148"/>
    </row>
    <row r="40" spans="2:13">
      <c r="B40" s="89"/>
      <c r="C40" s="150"/>
      <c r="D40" s="146"/>
      <c r="E40" s="147"/>
      <c r="F40" s="147"/>
      <c r="G40" s="147"/>
      <c r="H40" s="147"/>
      <c r="I40" s="147"/>
      <c r="J40" s="147"/>
      <c r="K40" s="147"/>
      <c r="L40" s="147"/>
      <c r="M40" s="148"/>
    </row>
    <row r="41" spans="2:13">
      <c r="B41" s="89"/>
      <c r="C41" s="150"/>
      <c r="D41" s="146"/>
      <c r="E41" s="147"/>
      <c r="F41" s="147"/>
      <c r="G41" s="147"/>
      <c r="H41" s="147"/>
      <c r="I41" s="147"/>
      <c r="J41" s="147"/>
      <c r="K41" s="147"/>
      <c r="L41" s="147"/>
      <c r="M41" s="148"/>
    </row>
    <row r="42" spans="2:13">
      <c r="B42" s="89"/>
      <c r="C42" s="150"/>
      <c r="D42" s="146"/>
      <c r="E42" s="147"/>
      <c r="F42" s="147"/>
      <c r="G42" s="147"/>
      <c r="H42" s="147"/>
      <c r="I42" s="147"/>
      <c r="J42" s="147"/>
      <c r="K42" s="147"/>
      <c r="L42" s="147"/>
      <c r="M42" s="148"/>
    </row>
    <row r="43" spans="2:13">
      <c r="B43" s="87"/>
      <c r="C43" s="151"/>
      <c r="D43" s="146"/>
      <c r="E43" s="147"/>
      <c r="F43" s="147"/>
      <c r="G43" s="147"/>
      <c r="H43" s="147"/>
      <c r="I43" s="147"/>
      <c r="J43" s="147"/>
      <c r="K43" s="147"/>
      <c r="L43" s="147"/>
      <c r="M43" s="148"/>
    </row>
    <row r="44" spans="2:13">
      <c r="B44" s="15" t="s">
        <v>306</v>
      </c>
      <c r="C44" s="46" t="s">
        <v>307</v>
      </c>
      <c r="D44" s="125" t="s">
        <v>1187</v>
      </c>
      <c r="E44" s="125"/>
      <c r="F44" s="125"/>
      <c r="G44" s="125"/>
      <c r="H44" s="125"/>
      <c r="I44" s="125"/>
      <c r="J44" s="125"/>
      <c r="K44" s="125"/>
      <c r="L44" s="125"/>
      <c r="M44" s="125"/>
    </row>
    <row r="45" spans="2:13">
      <c r="B45" s="15" t="s">
        <v>308</v>
      </c>
      <c r="C45" s="46" t="s">
        <v>298</v>
      </c>
      <c r="D45" s="125" t="s">
        <v>1277</v>
      </c>
      <c r="E45" s="125"/>
      <c r="F45" s="125"/>
      <c r="G45" s="125"/>
      <c r="H45" s="125"/>
      <c r="I45" s="125"/>
      <c r="J45" s="125"/>
      <c r="K45" s="125"/>
      <c r="L45" s="125"/>
      <c r="M45" s="125"/>
    </row>
    <row r="46" spans="2:13" ht="15" customHeight="1">
      <c r="B46" s="86" t="s">
        <v>309</v>
      </c>
      <c r="C46" s="132" t="s">
        <v>310</v>
      </c>
      <c r="D46" s="126" t="s">
        <v>1185</v>
      </c>
      <c r="E46" s="127"/>
      <c r="F46" s="127"/>
      <c r="G46" s="127"/>
      <c r="H46" s="127"/>
      <c r="I46" s="127"/>
      <c r="J46" s="127"/>
      <c r="K46" s="127"/>
      <c r="L46" s="127"/>
      <c r="M46" s="128"/>
    </row>
    <row r="47" spans="2:13" ht="11.25" customHeight="1">
      <c r="B47" s="87"/>
      <c r="C47" s="133"/>
      <c r="D47" s="142"/>
      <c r="E47" s="143"/>
      <c r="F47" s="143"/>
      <c r="G47" s="143"/>
      <c r="H47" s="143"/>
      <c r="I47" s="143"/>
      <c r="J47" s="143"/>
      <c r="K47" s="143"/>
      <c r="L47" s="143"/>
      <c r="M47" s="144"/>
    </row>
    <row r="48" spans="2:13" ht="15">
      <c r="B48" s="15" t="s">
        <v>311</v>
      </c>
      <c r="C48" s="46" t="s">
        <v>312</v>
      </c>
      <c r="D48" s="125" t="s">
        <v>1278</v>
      </c>
      <c r="E48" s="125"/>
      <c r="F48" s="125"/>
      <c r="G48" s="125"/>
      <c r="H48" s="125"/>
      <c r="I48" s="125"/>
      <c r="J48" s="125"/>
      <c r="K48" s="125"/>
      <c r="L48" s="125"/>
      <c r="M48" s="125"/>
    </row>
    <row r="49" spans="2:13">
      <c r="B49" s="16" t="s">
        <v>313</v>
      </c>
      <c r="C49" s="46" t="s">
        <v>314</v>
      </c>
      <c r="D49" s="129" t="s">
        <v>1279</v>
      </c>
      <c r="E49" s="129"/>
      <c r="F49" s="129"/>
      <c r="G49" s="129"/>
      <c r="H49" s="129"/>
      <c r="I49" s="129"/>
      <c r="J49" s="129"/>
      <c r="K49" s="129"/>
      <c r="L49" s="129"/>
      <c r="M49" s="129"/>
    </row>
    <row r="50" spans="2:13">
      <c r="B50" s="17" t="s">
        <v>315</v>
      </c>
      <c r="C50" s="46" t="s">
        <v>316</v>
      </c>
      <c r="D50" s="125" t="s">
        <v>1280</v>
      </c>
      <c r="E50" s="125"/>
      <c r="F50" s="125"/>
      <c r="G50" s="125"/>
      <c r="H50" s="125"/>
      <c r="I50" s="125"/>
      <c r="J50" s="125"/>
      <c r="K50" s="125"/>
      <c r="L50" s="125"/>
      <c r="M50" s="125"/>
    </row>
    <row r="51" spans="2:13">
      <c r="B51" s="15" t="s">
        <v>317</v>
      </c>
      <c r="C51" s="46" t="s">
        <v>318</v>
      </c>
      <c r="D51" s="125" t="s">
        <v>1186</v>
      </c>
      <c r="E51" s="125"/>
      <c r="F51" s="125"/>
      <c r="G51" s="125"/>
      <c r="H51" s="125"/>
      <c r="I51" s="125"/>
      <c r="J51" s="125"/>
      <c r="K51" s="125"/>
      <c r="L51" s="125"/>
      <c r="M51" s="125"/>
    </row>
    <row r="52" spans="2:13" ht="15">
      <c r="B52" s="15" t="s">
        <v>319</v>
      </c>
      <c r="C52" s="46" t="s">
        <v>320</v>
      </c>
      <c r="D52" s="125" t="s">
        <v>1281</v>
      </c>
      <c r="E52" s="125"/>
      <c r="F52" s="125"/>
      <c r="G52" s="125"/>
      <c r="H52" s="125"/>
      <c r="I52" s="125"/>
      <c r="J52" s="125"/>
      <c r="K52" s="125"/>
      <c r="L52" s="125"/>
      <c r="M52" s="125"/>
    </row>
    <row r="53" spans="2:13" ht="15">
      <c r="B53" s="15" t="s">
        <v>321</v>
      </c>
      <c r="C53" s="48" t="s">
        <v>322</v>
      </c>
      <c r="D53" s="125" t="s">
        <v>1282</v>
      </c>
      <c r="E53" s="125"/>
      <c r="F53" s="125"/>
      <c r="G53" s="125"/>
      <c r="H53" s="125"/>
      <c r="I53" s="125"/>
      <c r="J53" s="125"/>
      <c r="K53" s="125"/>
      <c r="L53" s="125"/>
      <c r="M53" s="125"/>
    </row>
    <row r="54" spans="2:13">
      <c r="B54" s="15" t="s">
        <v>323</v>
      </c>
      <c r="C54" s="48" t="s">
        <v>324</v>
      </c>
      <c r="D54" s="125" t="s">
        <v>1283</v>
      </c>
      <c r="E54" s="125"/>
      <c r="F54" s="125"/>
      <c r="G54" s="125"/>
      <c r="H54" s="125"/>
      <c r="I54" s="125"/>
      <c r="J54" s="125"/>
      <c r="K54" s="125"/>
      <c r="L54" s="125"/>
      <c r="M54" s="125"/>
    </row>
    <row r="55" spans="2:13" ht="15" customHeight="1">
      <c r="B55" s="86" t="s">
        <v>325</v>
      </c>
      <c r="C55" s="132" t="s">
        <v>326</v>
      </c>
      <c r="D55" s="126" t="s">
        <v>1284</v>
      </c>
      <c r="E55" s="127"/>
      <c r="F55" s="127"/>
      <c r="G55" s="127"/>
      <c r="H55" s="127"/>
      <c r="I55" s="127"/>
      <c r="J55" s="127"/>
      <c r="K55" s="127"/>
      <c r="L55" s="127"/>
      <c r="M55" s="128"/>
    </row>
    <row r="56" spans="2:13">
      <c r="B56" s="89"/>
      <c r="C56" s="145"/>
      <c r="D56" s="146"/>
      <c r="E56" s="147"/>
      <c r="F56" s="147"/>
      <c r="G56" s="147"/>
      <c r="H56" s="147"/>
      <c r="I56" s="147"/>
      <c r="J56" s="147"/>
      <c r="K56" s="147"/>
      <c r="L56" s="147"/>
      <c r="M56" s="148"/>
    </row>
    <row r="57" spans="2:13" ht="7.5" customHeight="1">
      <c r="B57" s="87"/>
      <c r="C57" s="133"/>
      <c r="D57" s="142"/>
      <c r="E57" s="143"/>
      <c r="F57" s="143"/>
      <c r="G57" s="143"/>
      <c r="H57" s="143"/>
      <c r="I57" s="143"/>
      <c r="J57" s="143"/>
      <c r="K57" s="143"/>
      <c r="L57" s="143"/>
      <c r="M57" s="144"/>
    </row>
    <row r="58" spans="2:13">
      <c r="B58" s="15" t="s">
        <v>327</v>
      </c>
      <c r="C58" s="46" t="s">
        <v>328</v>
      </c>
      <c r="D58" s="125" t="s">
        <v>1285</v>
      </c>
      <c r="E58" s="125"/>
      <c r="F58" s="125"/>
      <c r="G58" s="125"/>
      <c r="H58" s="125"/>
      <c r="I58" s="125"/>
      <c r="J58" s="125"/>
      <c r="K58" s="125"/>
      <c r="L58" s="125"/>
      <c r="M58" s="125"/>
    </row>
    <row r="59" spans="2:13" ht="15">
      <c r="B59" s="15" t="s">
        <v>329</v>
      </c>
      <c r="C59" s="46" t="s">
        <v>330</v>
      </c>
      <c r="D59" s="125" t="s">
        <v>1286</v>
      </c>
      <c r="E59" s="125"/>
      <c r="F59" s="125"/>
      <c r="G59" s="125"/>
      <c r="H59" s="125"/>
      <c r="I59" s="125"/>
      <c r="J59" s="125"/>
      <c r="K59" s="125"/>
      <c r="L59" s="125"/>
      <c r="M59" s="125"/>
    </row>
    <row r="60" spans="2:13" ht="15">
      <c r="B60" s="15" t="s">
        <v>331</v>
      </c>
      <c r="C60" s="48" t="s">
        <v>332</v>
      </c>
      <c r="D60" s="125" t="s">
        <v>1287</v>
      </c>
      <c r="E60" s="125"/>
      <c r="F60" s="125"/>
      <c r="G60" s="125"/>
      <c r="H60" s="125"/>
      <c r="I60" s="125"/>
      <c r="J60" s="125"/>
      <c r="K60" s="125"/>
      <c r="L60" s="125"/>
      <c r="M60" s="125"/>
    </row>
    <row r="61" spans="2:13" ht="15">
      <c r="B61" s="15" t="s">
        <v>333</v>
      </c>
      <c r="C61" s="49" t="s">
        <v>334</v>
      </c>
      <c r="D61" s="125" t="s">
        <v>1288</v>
      </c>
      <c r="E61" s="125"/>
      <c r="F61" s="125"/>
      <c r="G61" s="125"/>
      <c r="H61" s="125"/>
      <c r="I61" s="125"/>
      <c r="J61" s="125"/>
      <c r="K61" s="125"/>
      <c r="L61" s="125"/>
      <c r="M61" s="125"/>
    </row>
    <row r="62" spans="2:13" ht="15">
      <c r="B62" s="15" t="s">
        <v>335</v>
      </c>
      <c r="C62" s="46" t="s">
        <v>336</v>
      </c>
      <c r="D62" s="125" t="s">
        <v>1289</v>
      </c>
      <c r="E62" s="125"/>
      <c r="F62" s="125"/>
      <c r="G62" s="125"/>
      <c r="H62" s="125"/>
      <c r="I62" s="125"/>
      <c r="J62" s="125"/>
      <c r="K62" s="125"/>
      <c r="L62" s="125"/>
      <c r="M62" s="125"/>
    </row>
    <row r="63" spans="2:13" ht="15">
      <c r="B63" s="15" t="s">
        <v>337</v>
      </c>
      <c r="C63" s="49" t="s">
        <v>338</v>
      </c>
      <c r="D63" s="125" t="s">
        <v>1290</v>
      </c>
      <c r="E63" s="125"/>
      <c r="F63" s="125"/>
      <c r="G63" s="125"/>
      <c r="H63" s="125"/>
      <c r="I63" s="125"/>
      <c r="J63" s="125"/>
      <c r="K63" s="125"/>
      <c r="L63" s="125"/>
      <c r="M63" s="125"/>
    </row>
    <row r="64" spans="2:13">
      <c r="B64" s="15" t="s">
        <v>339</v>
      </c>
      <c r="C64" s="50" t="s">
        <v>340</v>
      </c>
      <c r="D64" s="125" t="s">
        <v>1291</v>
      </c>
      <c r="E64" s="125"/>
      <c r="F64" s="125"/>
      <c r="G64" s="125"/>
      <c r="H64" s="125"/>
      <c r="I64" s="125"/>
      <c r="J64" s="125"/>
      <c r="K64" s="125"/>
      <c r="L64" s="125"/>
      <c r="M64" s="125"/>
    </row>
    <row r="65" spans="2:13" ht="15">
      <c r="B65" s="15" t="s">
        <v>341</v>
      </c>
      <c r="C65" s="46" t="s">
        <v>342</v>
      </c>
      <c r="D65" s="125" t="s">
        <v>1292</v>
      </c>
      <c r="E65" s="125"/>
      <c r="F65" s="125"/>
      <c r="G65" s="125"/>
      <c r="H65" s="125"/>
      <c r="I65" s="125"/>
      <c r="J65" s="125"/>
      <c r="K65" s="125"/>
      <c r="L65" s="125"/>
      <c r="M65" s="125"/>
    </row>
    <row r="66" spans="2:13" ht="15">
      <c r="B66" s="15" t="s">
        <v>343</v>
      </c>
      <c r="C66" s="51" t="s">
        <v>344</v>
      </c>
      <c r="D66" s="125" t="s">
        <v>1293</v>
      </c>
      <c r="E66" s="125"/>
      <c r="F66" s="125"/>
      <c r="G66" s="125"/>
      <c r="H66" s="125"/>
      <c r="I66" s="125"/>
      <c r="J66" s="125"/>
      <c r="K66" s="125"/>
      <c r="L66" s="125"/>
      <c r="M66" s="125"/>
    </row>
    <row r="67" spans="2:13" ht="15">
      <c r="B67" s="15" t="s">
        <v>345</v>
      </c>
      <c r="C67" s="46" t="s">
        <v>346</v>
      </c>
      <c r="D67" s="125" t="s">
        <v>1294</v>
      </c>
      <c r="E67" s="125"/>
      <c r="F67" s="125"/>
      <c r="G67" s="125"/>
      <c r="H67" s="125"/>
      <c r="I67" s="125"/>
      <c r="J67" s="125"/>
      <c r="K67" s="125"/>
      <c r="L67" s="125"/>
      <c r="M67" s="125"/>
    </row>
    <row r="68" spans="2:13" ht="15">
      <c r="B68" s="15" t="s">
        <v>347</v>
      </c>
      <c r="C68" s="49" t="s">
        <v>348</v>
      </c>
      <c r="D68" s="125" t="s">
        <v>1295</v>
      </c>
      <c r="E68" s="125"/>
      <c r="F68" s="125"/>
      <c r="G68" s="125"/>
      <c r="H68" s="125"/>
      <c r="I68" s="125"/>
      <c r="J68" s="125"/>
      <c r="K68" s="125"/>
      <c r="L68" s="125"/>
      <c r="M68" s="125"/>
    </row>
    <row r="69" spans="2:13" ht="15">
      <c r="B69" s="15" t="s">
        <v>349</v>
      </c>
      <c r="C69" s="49" t="s">
        <v>350</v>
      </c>
      <c r="D69" s="125" t="s">
        <v>1296</v>
      </c>
      <c r="E69" s="125"/>
      <c r="F69" s="125"/>
      <c r="G69" s="125"/>
      <c r="H69" s="125"/>
      <c r="I69" s="125"/>
      <c r="J69" s="125"/>
      <c r="K69" s="125"/>
      <c r="L69" s="125"/>
      <c r="M69" s="125"/>
    </row>
    <row r="70" spans="2:13" ht="15" customHeight="1">
      <c r="B70" s="86" t="s">
        <v>351</v>
      </c>
      <c r="C70" s="132" t="s">
        <v>352</v>
      </c>
      <c r="D70" s="126" t="s">
        <v>1297</v>
      </c>
      <c r="E70" s="127"/>
      <c r="F70" s="127"/>
      <c r="G70" s="127"/>
      <c r="H70" s="127"/>
      <c r="I70" s="127"/>
      <c r="J70" s="127"/>
      <c r="K70" s="127"/>
      <c r="L70" s="127"/>
      <c r="M70" s="128"/>
    </row>
    <row r="71" spans="2:13">
      <c r="B71" s="87"/>
      <c r="C71" s="133"/>
      <c r="D71" s="142"/>
      <c r="E71" s="143"/>
      <c r="F71" s="143"/>
      <c r="G71" s="143"/>
      <c r="H71" s="143"/>
      <c r="I71" s="143"/>
      <c r="J71" s="143"/>
      <c r="K71" s="143"/>
      <c r="L71" s="143"/>
      <c r="M71" s="144"/>
    </row>
    <row r="72" spans="2:13" ht="15" customHeight="1">
      <c r="B72" s="86" t="s">
        <v>353</v>
      </c>
      <c r="C72" s="132" t="s">
        <v>354</v>
      </c>
      <c r="D72" s="126" t="s">
        <v>1298</v>
      </c>
      <c r="E72" s="127"/>
      <c r="F72" s="127"/>
      <c r="G72" s="127"/>
      <c r="H72" s="127"/>
      <c r="I72" s="127"/>
      <c r="J72" s="127"/>
      <c r="K72" s="127"/>
      <c r="L72" s="127"/>
      <c r="M72" s="128"/>
    </row>
    <row r="73" spans="2:13">
      <c r="B73" s="87"/>
      <c r="C73" s="133"/>
      <c r="D73" s="142"/>
      <c r="E73" s="143"/>
      <c r="F73" s="143"/>
      <c r="G73" s="143"/>
      <c r="H73" s="143"/>
      <c r="I73" s="143"/>
      <c r="J73" s="143"/>
      <c r="K73" s="143"/>
      <c r="L73" s="143"/>
      <c r="M73" s="144"/>
    </row>
    <row r="74" spans="2:13" ht="15" customHeight="1">
      <c r="B74" s="86" t="s">
        <v>355</v>
      </c>
      <c r="C74" s="132" t="s">
        <v>356</v>
      </c>
      <c r="D74" s="126" t="s">
        <v>1299</v>
      </c>
      <c r="E74" s="127"/>
      <c r="F74" s="127"/>
      <c r="G74" s="127"/>
      <c r="H74" s="127"/>
      <c r="I74" s="127"/>
      <c r="J74" s="127"/>
      <c r="K74" s="127"/>
      <c r="L74" s="127"/>
      <c r="M74" s="128"/>
    </row>
    <row r="75" spans="2:13">
      <c r="B75" s="87"/>
      <c r="C75" s="133"/>
      <c r="D75" s="142"/>
      <c r="E75" s="143"/>
      <c r="F75" s="143"/>
      <c r="G75" s="143"/>
      <c r="H75" s="143"/>
      <c r="I75" s="143"/>
      <c r="J75" s="143"/>
      <c r="K75" s="143"/>
      <c r="L75" s="143"/>
      <c r="M75" s="144"/>
    </row>
    <row r="76" spans="2:13" ht="15" customHeight="1">
      <c r="B76" s="86" t="s">
        <v>357</v>
      </c>
      <c r="C76" s="132" t="s">
        <v>358</v>
      </c>
      <c r="D76" s="126" t="s">
        <v>1300</v>
      </c>
      <c r="E76" s="127"/>
      <c r="F76" s="127"/>
      <c r="G76" s="127"/>
      <c r="H76" s="127"/>
      <c r="I76" s="127"/>
      <c r="J76" s="127"/>
      <c r="K76" s="127"/>
      <c r="L76" s="127"/>
      <c r="M76" s="128"/>
    </row>
    <row r="77" spans="2:13">
      <c r="B77" s="87"/>
      <c r="C77" s="133"/>
      <c r="D77" s="142"/>
      <c r="E77" s="143"/>
      <c r="F77" s="143"/>
      <c r="G77" s="143"/>
      <c r="H77" s="143"/>
      <c r="I77" s="143"/>
      <c r="J77" s="143"/>
      <c r="K77" s="143"/>
      <c r="L77" s="143"/>
      <c r="M77" s="144"/>
    </row>
    <row r="78" spans="2:13" ht="15" customHeight="1">
      <c r="B78" s="86" t="s">
        <v>359</v>
      </c>
      <c r="C78" s="132" t="s">
        <v>360</v>
      </c>
      <c r="D78" s="126" t="s">
        <v>1301</v>
      </c>
      <c r="E78" s="127"/>
      <c r="F78" s="127"/>
      <c r="G78" s="127"/>
      <c r="H78" s="127"/>
      <c r="I78" s="127"/>
      <c r="J78" s="127"/>
      <c r="K78" s="127"/>
      <c r="L78" s="127"/>
      <c r="M78" s="128"/>
    </row>
    <row r="79" spans="2:13">
      <c r="B79" s="87"/>
      <c r="C79" s="133"/>
      <c r="D79" s="142"/>
      <c r="E79" s="143"/>
      <c r="F79" s="143"/>
      <c r="G79" s="143"/>
      <c r="H79" s="143"/>
      <c r="I79" s="143"/>
      <c r="J79" s="143"/>
      <c r="K79" s="143"/>
      <c r="L79" s="143"/>
      <c r="M79" s="144"/>
    </row>
    <row r="80" spans="2:13" ht="15">
      <c r="B80" s="15" t="s">
        <v>361</v>
      </c>
      <c r="C80" s="46" t="s">
        <v>362</v>
      </c>
      <c r="D80" s="125" t="s">
        <v>1204</v>
      </c>
      <c r="E80" s="125"/>
      <c r="F80" s="125"/>
      <c r="G80" s="125"/>
      <c r="H80" s="125"/>
      <c r="I80" s="125"/>
      <c r="J80" s="125"/>
      <c r="K80" s="125"/>
      <c r="L80" s="125"/>
      <c r="M80" s="125"/>
    </row>
    <row r="81" spans="2:13">
      <c r="B81" s="15" t="s">
        <v>363</v>
      </c>
      <c r="C81" s="46" t="s">
        <v>364</v>
      </c>
      <c r="D81" s="141" t="s">
        <v>1205</v>
      </c>
      <c r="E81" s="141"/>
      <c r="F81" s="141"/>
      <c r="G81" s="141"/>
      <c r="H81" s="141"/>
      <c r="I81" s="141"/>
      <c r="J81" s="141"/>
      <c r="K81" s="141"/>
      <c r="L81" s="141"/>
      <c r="M81" s="141"/>
    </row>
    <row r="82" spans="2:13" ht="15">
      <c r="B82" s="15" t="s">
        <v>365</v>
      </c>
      <c r="C82" s="46" t="s">
        <v>366</v>
      </c>
      <c r="D82" s="141" t="s">
        <v>1206</v>
      </c>
      <c r="E82" s="141"/>
      <c r="F82" s="141"/>
      <c r="G82" s="141"/>
      <c r="H82" s="141"/>
      <c r="I82" s="141"/>
      <c r="J82" s="141"/>
      <c r="K82" s="141"/>
      <c r="L82" s="141"/>
      <c r="M82" s="141"/>
    </row>
    <row r="83" spans="2:13" ht="15">
      <c r="B83" s="15" t="s">
        <v>367</v>
      </c>
      <c r="C83" s="46" t="s">
        <v>368</v>
      </c>
      <c r="D83" s="141" t="s">
        <v>1207</v>
      </c>
      <c r="E83" s="141"/>
      <c r="F83" s="141"/>
      <c r="G83" s="141"/>
      <c r="H83" s="141"/>
      <c r="I83" s="141"/>
      <c r="J83" s="141"/>
      <c r="K83" s="141"/>
      <c r="L83" s="141"/>
      <c r="M83" s="141"/>
    </row>
    <row r="84" spans="2:13" ht="15">
      <c r="B84" s="15" t="s">
        <v>369</v>
      </c>
      <c r="C84" s="46" t="s">
        <v>370</v>
      </c>
      <c r="D84" s="141" t="s">
        <v>1208</v>
      </c>
      <c r="E84" s="141"/>
      <c r="F84" s="141"/>
      <c r="G84" s="141"/>
      <c r="H84" s="141"/>
      <c r="I84" s="141"/>
      <c r="J84" s="141"/>
      <c r="K84" s="141"/>
      <c r="L84" s="141"/>
      <c r="M84" s="141"/>
    </row>
    <row r="85" spans="2:13">
      <c r="B85" s="15" t="s">
        <v>371</v>
      </c>
      <c r="C85" s="46" t="s">
        <v>372</v>
      </c>
      <c r="D85" s="141" t="s">
        <v>1209</v>
      </c>
      <c r="E85" s="141"/>
      <c r="F85" s="141"/>
      <c r="G85" s="141"/>
      <c r="H85" s="141"/>
      <c r="I85" s="141"/>
      <c r="J85" s="141"/>
      <c r="K85" s="141"/>
      <c r="L85" s="141"/>
      <c r="M85" s="141"/>
    </row>
    <row r="86" spans="2:13" ht="15">
      <c r="B86" s="15" t="s">
        <v>373</v>
      </c>
      <c r="C86" s="46" t="s">
        <v>374</v>
      </c>
      <c r="D86" s="140" t="s">
        <v>1302</v>
      </c>
      <c r="E86" s="140"/>
      <c r="F86" s="140"/>
      <c r="G86" s="140"/>
      <c r="H86" s="140"/>
      <c r="I86" s="140"/>
      <c r="J86" s="140"/>
      <c r="K86" s="140"/>
      <c r="L86" s="140"/>
      <c r="M86" s="140"/>
    </row>
    <row r="87" spans="2:13" ht="15">
      <c r="B87" s="15" t="s">
        <v>375</v>
      </c>
      <c r="C87" s="46" t="s">
        <v>376</v>
      </c>
      <c r="D87" s="140" t="s">
        <v>1303</v>
      </c>
      <c r="E87" s="140"/>
      <c r="F87" s="140"/>
      <c r="G87" s="140"/>
      <c r="H87" s="140"/>
      <c r="I87" s="140"/>
      <c r="J87" s="140"/>
      <c r="K87" s="140"/>
      <c r="L87" s="140"/>
      <c r="M87" s="140"/>
    </row>
    <row r="88" spans="2:13" ht="15">
      <c r="B88" s="15" t="s">
        <v>377</v>
      </c>
      <c r="C88" s="46" t="s">
        <v>378</v>
      </c>
      <c r="D88" s="140" t="s">
        <v>1304</v>
      </c>
      <c r="E88" s="140"/>
      <c r="F88" s="140"/>
      <c r="G88" s="140"/>
      <c r="H88" s="140"/>
      <c r="I88" s="140"/>
      <c r="J88" s="140"/>
      <c r="K88" s="140"/>
      <c r="L88" s="140"/>
      <c r="M88" s="140"/>
    </row>
    <row r="89" spans="2:13" ht="15">
      <c r="B89" s="15" t="s">
        <v>379</v>
      </c>
      <c r="C89" s="46" t="s">
        <v>380</v>
      </c>
      <c r="D89" s="140" t="s">
        <v>1305</v>
      </c>
      <c r="E89" s="140"/>
      <c r="F89" s="140"/>
      <c r="G89" s="140"/>
      <c r="H89" s="140"/>
      <c r="I89" s="140"/>
      <c r="J89" s="140"/>
      <c r="K89" s="140"/>
      <c r="L89" s="140"/>
      <c r="M89" s="140"/>
    </row>
    <row r="90" spans="2:13" ht="15">
      <c r="B90" s="15" t="s">
        <v>381</v>
      </c>
      <c r="C90" s="46" t="s">
        <v>382</v>
      </c>
      <c r="D90" s="140" t="s">
        <v>1306</v>
      </c>
      <c r="E90" s="140"/>
      <c r="F90" s="140"/>
      <c r="G90" s="140"/>
      <c r="H90" s="140"/>
      <c r="I90" s="140"/>
      <c r="J90" s="140"/>
      <c r="K90" s="140"/>
      <c r="L90" s="140"/>
      <c r="M90" s="140"/>
    </row>
    <row r="91" spans="2:13" ht="15">
      <c r="B91" s="15" t="s">
        <v>383</v>
      </c>
      <c r="C91" s="46" t="s">
        <v>384</v>
      </c>
      <c r="D91" s="140" t="s">
        <v>1307</v>
      </c>
      <c r="E91" s="140"/>
      <c r="F91" s="140"/>
      <c r="G91" s="140"/>
      <c r="H91" s="140"/>
      <c r="I91" s="140"/>
      <c r="J91" s="140"/>
      <c r="K91" s="140"/>
      <c r="L91" s="140"/>
      <c r="M91" s="140"/>
    </row>
    <row r="92" spans="2:13" ht="15">
      <c r="B92" s="15" t="s">
        <v>385</v>
      </c>
      <c r="C92" s="46" t="s">
        <v>386</v>
      </c>
      <c r="D92" s="140" t="s">
        <v>1308</v>
      </c>
      <c r="E92" s="140"/>
      <c r="F92" s="140"/>
      <c r="G92" s="140"/>
      <c r="H92" s="140"/>
      <c r="I92" s="140"/>
      <c r="J92" s="140"/>
      <c r="K92" s="140"/>
      <c r="L92" s="140"/>
      <c r="M92" s="140"/>
    </row>
    <row r="93" spans="2:13" ht="15">
      <c r="B93" s="15" t="s">
        <v>387</v>
      </c>
      <c r="C93" s="46" t="s">
        <v>388</v>
      </c>
      <c r="D93" s="140" t="s">
        <v>1309</v>
      </c>
      <c r="E93" s="140"/>
      <c r="F93" s="140"/>
      <c r="G93" s="140"/>
      <c r="H93" s="140"/>
      <c r="I93" s="140"/>
      <c r="J93" s="140"/>
      <c r="K93" s="140"/>
      <c r="L93" s="140"/>
      <c r="M93" s="140"/>
    </row>
    <row r="94" spans="2:13" ht="15">
      <c r="B94" s="15" t="s">
        <v>389</v>
      </c>
      <c r="C94" s="46" t="s">
        <v>390</v>
      </c>
      <c r="D94" s="140" t="s">
        <v>1310</v>
      </c>
      <c r="E94" s="140"/>
      <c r="F94" s="140"/>
      <c r="G94" s="140"/>
      <c r="H94" s="140"/>
      <c r="I94" s="140"/>
      <c r="J94" s="140"/>
      <c r="K94" s="140"/>
      <c r="L94" s="140"/>
      <c r="M94" s="140"/>
    </row>
    <row r="95" spans="2:13" ht="15">
      <c r="B95" s="15" t="s">
        <v>391</v>
      </c>
      <c r="C95" s="46" t="s">
        <v>392</v>
      </c>
      <c r="D95" s="140" t="s">
        <v>1311</v>
      </c>
      <c r="E95" s="140"/>
      <c r="F95" s="140"/>
      <c r="G95" s="140"/>
      <c r="H95" s="140"/>
      <c r="I95" s="140"/>
      <c r="J95" s="140"/>
      <c r="K95" s="140"/>
      <c r="L95" s="140"/>
      <c r="M95" s="140"/>
    </row>
    <row r="96" spans="2:13" ht="15">
      <c r="B96" s="15" t="s">
        <v>393</v>
      </c>
      <c r="C96" s="50" t="s">
        <v>394</v>
      </c>
      <c r="D96" s="140" t="s">
        <v>1312</v>
      </c>
      <c r="E96" s="140"/>
      <c r="F96" s="140"/>
      <c r="G96" s="140"/>
      <c r="H96" s="140"/>
      <c r="I96" s="140"/>
      <c r="J96" s="140"/>
      <c r="K96" s="140"/>
      <c r="L96" s="140"/>
      <c r="M96" s="140"/>
    </row>
    <row r="97" spans="2:13">
      <c r="B97" s="15" t="s">
        <v>395</v>
      </c>
      <c r="C97" s="46" t="s">
        <v>396</v>
      </c>
      <c r="D97" s="131" t="s">
        <v>1313</v>
      </c>
      <c r="E97" s="131"/>
      <c r="F97" s="131"/>
      <c r="G97" s="131"/>
      <c r="H97" s="131"/>
      <c r="I97" s="131"/>
      <c r="J97" s="131"/>
      <c r="K97" s="131"/>
      <c r="L97" s="131"/>
      <c r="M97" s="131"/>
    </row>
    <row r="98" spans="2:13" ht="15">
      <c r="B98" s="15" t="s">
        <v>397</v>
      </c>
      <c r="C98" s="46" t="s">
        <v>398</v>
      </c>
      <c r="D98" s="131" t="s">
        <v>1314</v>
      </c>
      <c r="E98" s="131"/>
      <c r="F98" s="131"/>
      <c r="G98" s="131"/>
      <c r="H98" s="131"/>
      <c r="I98" s="131"/>
      <c r="J98" s="131"/>
      <c r="K98" s="131"/>
      <c r="L98" s="131"/>
      <c r="M98" s="131"/>
    </row>
    <row r="99" spans="2:13">
      <c r="B99" s="15" t="s">
        <v>399</v>
      </c>
      <c r="C99" s="46" t="s">
        <v>400</v>
      </c>
      <c r="D99" s="131" t="s">
        <v>1315</v>
      </c>
      <c r="E99" s="131"/>
      <c r="F99" s="131"/>
      <c r="G99" s="131"/>
      <c r="H99" s="131"/>
      <c r="I99" s="131"/>
      <c r="J99" s="131"/>
      <c r="K99" s="131"/>
      <c r="L99" s="131"/>
      <c r="M99" s="131"/>
    </row>
    <row r="100" spans="2:13" ht="15">
      <c r="B100" s="15" t="s">
        <v>401</v>
      </c>
      <c r="C100" s="46" t="s">
        <v>402</v>
      </c>
      <c r="D100" s="131" t="s">
        <v>1316</v>
      </c>
      <c r="E100" s="131"/>
      <c r="F100" s="131"/>
      <c r="G100" s="131"/>
      <c r="H100" s="131"/>
      <c r="I100" s="131"/>
      <c r="J100" s="131"/>
      <c r="K100" s="131"/>
      <c r="L100" s="131"/>
      <c r="M100" s="131"/>
    </row>
    <row r="101" spans="2:13" ht="15" customHeight="1">
      <c r="B101" s="86" t="s">
        <v>403</v>
      </c>
      <c r="C101" s="132" t="s">
        <v>404</v>
      </c>
      <c r="D101" s="134" t="s">
        <v>1317</v>
      </c>
      <c r="E101" s="135"/>
      <c r="F101" s="135"/>
      <c r="G101" s="135"/>
      <c r="H101" s="135"/>
      <c r="I101" s="135"/>
      <c r="J101" s="135"/>
      <c r="K101" s="135"/>
      <c r="L101" s="135"/>
      <c r="M101" s="136"/>
    </row>
    <row r="102" spans="2:13">
      <c r="B102" s="87"/>
      <c r="C102" s="133"/>
      <c r="D102" s="137"/>
      <c r="E102" s="138"/>
      <c r="F102" s="138"/>
      <c r="G102" s="138"/>
      <c r="H102" s="138"/>
      <c r="I102" s="138"/>
      <c r="J102" s="138"/>
      <c r="K102" s="138"/>
      <c r="L102" s="138"/>
      <c r="M102" s="139"/>
    </row>
    <row r="103" spans="2:13" ht="15" customHeight="1">
      <c r="B103" s="86" t="s">
        <v>405</v>
      </c>
      <c r="C103" s="132" t="s">
        <v>406</v>
      </c>
      <c r="D103" s="134" t="s">
        <v>1318</v>
      </c>
      <c r="E103" s="135"/>
      <c r="F103" s="135"/>
      <c r="G103" s="135"/>
      <c r="H103" s="135"/>
      <c r="I103" s="135"/>
      <c r="J103" s="135"/>
      <c r="K103" s="135"/>
      <c r="L103" s="135"/>
      <c r="M103" s="136"/>
    </row>
    <row r="104" spans="2:13">
      <c r="B104" s="87"/>
      <c r="C104" s="133"/>
      <c r="D104" s="137"/>
      <c r="E104" s="138"/>
      <c r="F104" s="138"/>
      <c r="G104" s="138"/>
      <c r="H104" s="138"/>
      <c r="I104" s="138"/>
      <c r="J104" s="138"/>
      <c r="K104" s="138"/>
      <c r="L104" s="138"/>
      <c r="M104" s="139"/>
    </row>
    <row r="105" spans="2:13" ht="15" customHeight="1">
      <c r="B105" s="86" t="s">
        <v>407</v>
      </c>
      <c r="C105" s="132" t="s">
        <v>408</v>
      </c>
      <c r="D105" s="134" t="s">
        <v>1319</v>
      </c>
      <c r="E105" s="135"/>
      <c r="F105" s="135"/>
      <c r="G105" s="135"/>
      <c r="H105" s="135"/>
      <c r="I105" s="135"/>
      <c r="J105" s="135"/>
      <c r="K105" s="135"/>
      <c r="L105" s="135"/>
      <c r="M105" s="136"/>
    </row>
    <row r="106" spans="2:13">
      <c r="B106" s="87"/>
      <c r="C106" s="133"/>
      <c r="D106" s="137"/>
      <c r="E106" s="138"/>
      <c r="F106" s="138"/>
      <c r="G106" s="138"/>
      <c r="H106" s="138"/>
      <c r="I106" s="138"/>
      <c r="J106" s="138"/>
      <c r="K106" s="138"/>
      <c r="L106" s="138"/>
      <c r="M106" s="139"/>
    </row>
    <row r="107" spans="2:13" ht="15" customHeight="1">
      <c r="B107" s="86" t="s">
        <v>409</v>
      </c>
      <c r="C107" s="132" t="s">
        <v>410</v>
      </c>
      <c r="D107" s="134" t="s">
        <v>1320</v>
      </c>
      <c r="E107" s="135"/>
      <c r="F107" s="135"/>
      <c r="G107" s="135"/>
      <c r="H107" s="135"/>
      <c r="I107" s="135"/>
      <c r="J107" s="135"/>
      <c r="K107" s="135"/>
      <c r="L107" s="135"/>
      <c r="M107" s="136"/>
    </row>
    <row r="108" spans="2:13">
      <c r="B108" s="87"/>
      <c r="C108" s="133"/>
      <c r="D108" s="137"/>
      <c r="E108" s="138"/>
      <c r="F108" s="138"/>
      <c r="G108" s="138"/>
      <c r="H108" s="138"/>
      <c r="I108" s="138"/>
      <c r="J108" s="138"/>
      <c r="K108" s="138"/>
      <c r="L108" s="138"/>
      <c r="M108" s="139"/>
    </row>
    <row r="109" spans="2:13" ht="15" customHeight="1">
      <c r="B109" s="15" t="s">
        <v>411</v>
      </c>
      <c r="C109" s="46" t="s">
        <v>412</v>
      </c>
      <c r="D109" s="134" t="s">
        <v>1321</v>
      </c>
      <c r="E109" s="135"/>
      <c r="F109" s="135"/>
      <c r="G109" s="135"/>
      <c r="H109" s="135"/>
      <c r="I109" s="135"/>
      <c r="J109" s="135"/>
      <c r="K109" s="135"/>
      <c r="L109" s="135"/>
      <c r="M109" s="136"/>
    </row>
    <row r="110" spans="2:13" ht="15">
      <c r="B110" s="15" t="s">
        <v>413</v>
      </c>
      <c r="C110" s="46" t="s">
        <v>414</v>
      </c>
      <c r="D110" s="131" t="s">
        <v>1322</v>
      </c>
      <c r="E110" s="131"/>
      <c r="F110" s="131"/>
      <c r="G110" s="131"/>
      <c r="H110" s="131"/>
      <c r="I110" s="131"/>
      <c r="J110" s="131"/>
      <c r="K110" s="131"/>
      <c r="L110" s="131"/>
      <c r="M110" s="131"/>
    </row>
    <row r="111" spans="2:13">
      <c r="B111" s="15" t="s">
        <v>415</v>
      </c>
      <c r="C111" s="46" t="s">
        <v>291</v>
      </c>
      <c r="D111" s="131" t="s">
        <v>416</v>
      </c>
      <c r="E111" s="131"/>
      <c r="F111" s="131"/>
      <c r="G111" s="131"/>
      <c r="H111" s="131"/>
      <c r="I111" s="131"/>
      <c r="J111" s="131"/>
      <c r="K111" s="131"/>
      <c r="L111" s="131"/>
      <c r="M111" s="131"/>
    </row>
    <row r="112" spans="2:13">
      <c r="B112" s="15" t="s">
        <v>417</v>
      </c>
      <c r="C112" s="52" t="s">
        <v>418</v>
      </c>
      <c r="D112" s="131" t="s">
        <v>1210</v>
      </c>
      <c r="E112" s="131"/>
      <c r="F112" s="131"/>
      <c r="G112" s="131"/>
      <c r="H112" s="131"/>
      <c r="I112" s="131"/>
      <c r="J112" s="131"/>
      <c r="K112" s="131"/>
      <c r="L112" s="131"/>
      <c r="M112" s="131"/>
    </row>
    <row r="113" spans="2:13" ht="15">
      <c r="B113" s="15" t="s">
        <v>419</v>
      </c>
      <c r="C113" s="46" t="s">
        <v>420</v>
      </c>
      <c r="D113" s="131" t="s">
        <v>1323</v>
      </c>
      <c r="E113" s="131"/>
      <c r="F113" s="131"/>
      <c r="G113" s="131"/>
      <c r="H113" s="131"/>
      <c r="I113" s="131"/>
      <c r="J113" s="131"/>
      <c r="K113" s="131"/>
      <c r="L113" s="131"/>
      <c r="M113" s="131"/>
    </row>
    <row r="114" spans="2:13" ht="15">
      <c r="B114" s="15" t="s">
        <v>421</v>
      </c>
      <c r="C114" s="46" t="s">
        <v>422</v>
      </c>
      <c r="D114" s="125" t="s">
        <v>1324</v>
      </c>
      <c r="E114" s="125"/>
      <c r="F114" s="125"/>
      <c r="G114" s="125"/>
      <c r="H114" s="125"/>
      <c r="I114" s="125"/>
      <c r="J114" s="125"/>
      <c r="K114" s="125"/>
      <c r="L114" s="125"/>
      <c r="M114" s="125"/>
    </row>
    <row r="115" spans="2:13" ht="15">
      <c r="B115" s="15" t="s">
        <v>423</v>
      </c>
      <c r="C115" s="46" t="s">
        <v>424</v>
      </c>
      <c r="D115" s="125" t="s">
        <v>1325</v>
      </c>
      <c r="E115" s="125"/>
      <c r="F115" s="125"/>
      <c r="G115" s="125"/>
      <c r="H115" s="125"/>
      <c r="I115" s="125"/>
      <c r="J115" s="125"/>
      <c r="K115" s="125"/>
      <c r="L115" s="125"/>
      <c r="M115" s="125"/>
    </row>
    <row r="116" spans="2:13" ht="15">
      <c r="B116" s="15" t="s">
        <v>425</v>
      </c>
      <c r="C116" s="46" t="s">
        <v>426</v>
      </c>
      <c r="D116" s="125" t="s">
        <v>1326</v>
      </c>
      <c r="E116" s="125"/>
      <c r="F116" s="125"/>
      <c r="G116" s="125"/>
      <c r="H116" s="125"/>
      <c r="I116" s="125"/>
      <c r="J116" s="125"/>
      <c r="K116" s="125"/>
      <c r="L116" s="125"/>
      <c r="M116" s="125"/>
    </row>
    <row r="117" spans="2:13" ht="15">
      <c r="B117" s="15" t="s">
        <v>427</v>
      </c>
      <c r="C117" s="46" t="s">
        <v>428</v>
      </c>
      <c r="D117" s="125" t="s">
        <v>1327</v>
      </c>
      <c r="E117" s="125"/>
      <c r="F117" s="125"/>
      <c r="G117" s="125"/>
      <c r="H117" s="125"/>
      <c r="I117" s="125"/>
      <c r="J117" s="125"/>
      <c r="K117" s="125"/>
      <c r="L117" s="125"/>
      <c r="M117" s="125"/>
    </row>
    <row r="118" spans="2:13" ht="15">
      <c r="B118" s="15" t="s">
        <v>429</v>
      </c>
      <c r="C118" s="46" t="s">
        <v>430</v>
      </c>
      <c r="D118" s="125" t="s">
        <v>1328</v>
      </c>
      <c r="E118" s="125"/>
      <c r="F118" s="125"/>
      <c r="G118" s="125"/>
      <c r="H118" s="125"/>
      <c r="I118" s="125"/>
      <c r="J118" s="125"/>
      <c r="K118" s="125"/>
      <c r="L118" s="125"/>
      <c r="M118" s="125"/>
    </row>
    <row r="119" spans="2:13" ht="15">
      <c r="B119" s="15" t="s">
        <v>431</v>
      </c>
      <c r="C119" s="46" t="s">
        <v>432</v>
      </c>
      <c r="D119" s="125" t="s">
        <v>1329</v>
      </c>
      <c r="E119" s="125"/>
      <c r="F119" s="125"/>
      <c r="G119" s="125"/>
      <c r="H119" s="125"/>
      <c r="I119" s="125"/>
      <c r="J119" s="125"/>
      <c r="K119" s="125"/>
      <c r="L119" s="125"/>
      <c r="M119" s="125"/>
    </row>
    <row r="120" spans="2:13" ht="15">
      <c r="B120" s="15" t="s">
        <v>433</v>
      </c>
      <c r="C120" s="46" t="s">
        <v>434</v>
      </c>
      <c r="D120" s="131" t="s">
        <v>1330</v>
      </c>
      <c r="E120" s="131"/>
      <c r="F120" s="131"/>
      <c r="G120" s="131"/>
      <c r="H120" s="131"/>
      <c r="I120" s="131"/>
      <c r="J120" s="131"/>
      <c r="K120" s="131"/>
      <c r="L120" s="131"/>
      <c r="M120" s="131"/>
    </row>
    <row r="121" spans="2:13" ht="15">
      <c r="B121" s="15" t="s">
        <v>435</v>
      </c>
      <c r="C121" s="46" t="s">
        <v>436</v>
      </c>
      <c r="D121" s="131" t="s">
        <v>1331</v>
      </c>
      <c r="E121" s="131"/>
      <c r="F121" s="131"/>
      <c r="G121" s="131"/>
      <c r="H121" s="131"/>
      <c r="I121" s="131"/>
      <c r="J121" s="131"/>
      <c r="K121" s="131"/>
      <c r="L121" s="131"/>
      <c r="M121" s="131"/>
    </row>
    <row r="122" spans="2:13" ht="15">
      <c r="B122" s="15" t="s">
        <v>437</v>
      </c>
      <c r="C122" s="46" t="s">
        <v>438</v>
      </c>
      <c r="D122" s="131" t="s">
        <v>1332</v>
      </c>
      <c r="E122" s="131"/>
      <c r="F122" s="131"/>
      <c r="G122" s="131"/>
      <c r="H122" s="131"/>
      <c r="I122" s="131"/>
      <c r="J122" s="131"/>
      <c r="K122" s="131"/>
      <c r="L122" s="131"/>
      <c r="M122" s="131"/>
    </row>
    <row r="123" spans="2:13" ht="15">
      <c r="B123" s="15" t="s">
        <v>439</v>
      </c>
      <c r="C123" s="46" t="s">
        <v>440</v>
      </c>
      <c r="D123" s="131" t="s">
        <v>1333</v>
      </c>
      <c r="E123" s="131"/>
      <c r="F123" s="131"/>
      <c r="G123" s="131"/>
      <c r="H123" s="131"/>
      <c r="I123" s="131"/>
      <c r="J123" s="131"/>
      <c r="K123" s="131"/>
      <c r="L123" s="131"/>
      <c r="M123" s="131"/>
    </row>
    <row r="124" spans="2:13" ht="15">
      <c r="B124" s="15" t="s">
        <v>441</v>
      </c>
      <c r="C124" s="46" t="s">
        <v>442</v>
      </c>
      <c r="D124" s="131" t="s">
        <v>1334</v>
      </c>
      <c r="E124" s="131"/>
      <c r="F124" s="131"/>
      <c r="G124" s="131"/>
      <c r="H124" s="131"/>
      <c r="I124" s="131"/>
      <c r="J124" s="131"/>
      <c r="K124" s="131"/>
      <c r="L124" s="131"/>
      <c r="M124" s="131"/>
    </row>
    <row r="125" spans="2:13" ht="15">
      <c r="B125" s="15" t="s">
        <v>443</v>
      </c>
      <c r="C125" s="46" t="s">
        <v>444</v>
      </c>
      <c r="D125" s="131" t="s">
        <v>1335</v>
      </c>
      <c r="E125" s="131"/>
      <c r="F125" s="131"/>
      <c r="G125" s="131"/>
      <c r="H125" s="131"/>
      <c r="I125" s="131"/>
      <c r="J125" s="131"/>
      <c r="K125" s="131"/>
      <c r="L125" s="131"/>
      <c r="M125" s="131"/>
    </row>
    <row r="126" spans="2:13" ht="15">
      <c r="B126" s="15" t="s">
        <v>445</v>
      </c>
      <c r="C126" s="46" t="s">
        <v>446</v>
      </c>
      <c r="D126" s="125" t="s">
        <v>1336</v>
      </c>
      <c r="E126" s="125"/>
      <c r="F126" s="125"/>
      <c r="G126" s="125"/>
      <c r="H126" s="125"/>
      <c r="I126" s="125"/>
      <c r="J126" s="125"/>
      <c r="K126" s="125"/>
      <c r="L126" s="125"/>
      <c r="M126" s="125"/>
    </row>
    <row r="127" spans="2:13" ht="15">
      <c r="B127" s="15" t="s">
        <v>447</v>
      </c>
      <c r="C127" s="46" t="s">
        <v>448</v>
      </c>
      <c r="D127" s="125" t="s">
        <v>1337</v>
      </c>
      <c r="E127" s="125"/>
      <c r="F127" s="125"/>
      <c r="G127" s="125"/>
      <c r="H127" s="125"/>
      <c r="I127" s="125"/>
      <c r="J127" s="125"/>
      <c r="K127" s="125"/>
      <c r="L127" s="125"/>
      <c r="M127" s="125"/>
    </row>
    <row r="128" spans="2:13" ht="15" customHeight="1">
      <c r="B128" s="27" t="s">
        <v>449</v>
      </c>
      <c r="C128" s="47" t="s">
        <v>450</v>
      </c>
      <c r="D128" s="126" t="s">
        <v>1338</v>
      </c>
      <c r="E128" s="127"/>
      <c r="F128" s="127"/>
      <c r="G128" s="127"/>
      <c r="H128" s="127"/>
      <c r="I128" s="127"/>
      <c r="J128" s="127"/>
      <c r="K128" s="127"/>
      <c r="L128" s="127"/>
      <c r="M128" s="128"/>
    </row>
    <row r="129" spans="2:13" ht="10.5" customHeight="1">
      <c r="B129" s="15" t="s">
        <v>451</v>
      </c>
      <c r="C129" s="46" t="s">
        <v>452</v>
      </c>
      <c r="D129" s="125" t="s">
        <v>1339</v>
      </c>
      <c r="E129" s="125"/>
      <c r="F129" s="125"/>
      <c r="G129" s="125"/>
      <c r="H129" s="125"/>
      <c r="I129" s="125"/>
      <c r="J129" s="125"/>
      <c r="K129" s="125"/>
      <c r="L129" s="125"/>
      <c r="M129" s="125"/>
    </row>
    <row r="130" spans="2:13" ht="15">
      <c r="B130" s="15" t="s">
        <v>453</v>
      </c>
      <c r="C130" s="46" t="s">
        <v>454</v>
      </c>
      <c r="D130" s="125" t="s">
        <v>1340</v>
      </c>
      <c r="E130" s="125"/>
      <c r="F130" s="125"/>
      <c r="G130" s="125"/>
      <c r="H130" s="125"/>
      <c r="I130" s="125"/>
      <c r="J130" s="125"/>
      <c r="K130" s="125"/>
      <c r="L130" s="125"/>
      <c r="M130" s="125"/>
    </row>
    <row r="131" spans="2:13" ht="15">
      <c r="B131" s="15" t="s">
        <v>455</v>
      </c>
      <c r="C131" s="46" t="s">
        <v>456</v>
      </c>
      <c r="D131" s="125" t="s">
        <v>1341</v>
      </c>
      <c r="E131" s="125"/>
      <c r="F131" s="125"/>
      <c r="G131" s="125"/>
      <c r="H131" s="125"/>
      <c r="I131" s="125"/>
      <c r="J131" s="125"/>
      <c r="K131" s="125"/>
      <c r="L131" s="125"/>
      <c r="M131" s="125"/>
    </row>
    <row r="132" spans="2:13" ht="15">
      <c r="B132" s="16" t="s">
        <v>457</v>
      </c>
      <c r="C132" s="53" t="s">
        <v>458</v>
      </c>
      <c r="D132" s="129" t="s">
        <v>1342</v>
      </c>
      <c r="E132" s="129"/>
      <c r="F132" s="129"/>
      <c r="G132" s="129"/>
      <c r="H132" s="129"/>
      <c r="I132" s="129"/>
      <c r="J132" s="129"/>
      <c r="K132" s="129"/>
      <c r="L132" s="129"/>
      <c r="M132" s="129"/>
    </row>
    <row r="133" spans="2:13">
      <c r="B133" s="18" t="s">
        <v>459</v>
      </c>
      <c r="C133" s="53" t="s">
        <v>460</v>
      </c>
      <c r="D133" s="130" t="s">
        <v>1343</v>
      </c>
      <c r="E133" s="130"/>
      <c r="F133" s="130"/>
      <c r="G133" s="130"/>
      <c r="H133" s="130"/>
      <c r="I133" s="130"/>
      <c r="J133" s="130"/>
      <c r="K133" s="130"/>
      <c r="L133" s="130"/>
      <c r="M133" s="130"/>
    </row>
    <row r="134" spans="2:13" ht="15">
      <c r="B134" s="19" t="s">
        <v>461</v>
      </c>
      <c r="C134" s="54" t="s">
        <v>462</v>
      </c>
      <c r="D134" s="99" t="s">
        <v>1344</v>
      </c>
      <c r="E134" s="100"/>
      <c r="F134" s="100"/>
      <c r="G134" s="100"/>
      <c r="H134" s="100"/>
      <c r="I134" s="100"/>
      <c r="J134" s="100"/>
      <c r="K134" s="100"/>
      <c r="L134" s="100"/>
      <c r="M134" s="101"/>
    </row>
    <row r="135" spans="2:13" ht="49.5" customHeight="1">
      <c r="B135" s="20" t="s">
        <v>463</v>
      </c>
      <c r="C135" s="54" t="s">
        <v>464</v>
      </c>
      <c r="D135" s="99" t="s">
        <v>1345</v>
      </c>
      <c r="E135" s="100"/>
      <c r="F135" s="100"/>
      <c r="G135" s="100"/>
      <c r="H135" s="100"/>
      <c r="I135" s="100"/>
      <c r="J135" s="100"/>
      <c r="K135" s="100"/>
      <c r="L135" s="100"/>
      <c r="M135" s="101"/>
    </row>
    <row r="136" spans="2:13" ht="49.5" customHeight="1">
      <c r="B136" s="19"/>
      <c r="C136" s="54" t="s">
        <v>1347</v>
      </c>
      <c r="D136" s="88" t="s">
        <v>1352</v>
      </c>
      <c r="E136" s="88"/>
      <c r="F136" s="88"/>
      <c r="G136" s="88"/>
      <c r="H136" s="88"/>
      <c r="I136" s="88"/>
      <c r="J136" s="88"/>
      <c r="K136" s="88"/>
      <c r="L136" s="88"/>
      <c r="M136" s="88"/>
    </row>
    <row r="137" spans="2:13" ht="49.5" customHeight="1">
      <c r="B137" s="19"/>
      <c r="C137" s="54" t="s">
        <v>1346</v>
      </c>
      <c r="D137" s="88" t="s">
        <v>1353</v>
      </c>
      <c r="E137" s="88"/>
      <c r="F137" s="88"/>
      <c r="G137" s="88"/>
      <c r="H137" s="88"/>
      <c r="I137" s="88"/>
      <c r="J137" s="88"/>
      <c r="K137" s="88"/>
      <c r="L137" s="88"/>
      <c r="M137" s="88"/>
    </row>
    <row r="138" spans="2:13" ht="49.5" customHeight="1">
      <c r="B138" s="19"/>
      <c r="C138" s="54" t="s">
        <v>1354</v>
      </c>
      <c r="D138" s="125" t="s">
        <v>1356</v>
      </c>
      <c r="E138" s="125"/>
      <c r="F138" s="125"/>
      <c r="G138" s="125"/>
      <c r="H138" s="125"/>
      <c r="I138" s="125"/>
      <c r="J138" s="125"/>
      <c r="K138" s="125"/>
      <c r="L138" s="125"/>
      <c r="M138" s="125"/>
    </row>
    <row r="139" spans="2:13" ht="49.5" customHeight="1">
      <c r="B139" s="19"/>
      <c r="C139" s="69" t="s">
        <v>1355</v>
      </c>
      <c r="D139" s="125" t="s">
        <v>1357</v>
      </c>
      <c r="E139" s="125"/>
      <c r="F139" s="125"/>
      <c r="G139" s="125"/>
      <c r="H139" s="125"/>
      <c r="I139" s="125"/>
      <c r="J139" s="125"/>
      <c r="K139" s="125"/>
      <c r="L139" s="125"/>
      <c r="M139" s="125"/>
    </row>
    <row r="140" spans="2:13" ht="26.25" customHeight="1">
      <c r="B140" s="111" t="s">
        <v>1211</v>
      </c>
      <c r="C140" s="112"/>
      <c r="D140" s="112"/>
      <c r="E140" s="112"/>
      <c r="F140" s="112"/>
      <c r="G140" s="112"/>
      <c r="H140" s="112"/>
      <c r="I140" s="112"/>
      <c r="J140" s="112"/>
      <c r="K140" s="112"/>
      <c r="L140" s="112"/>
      <c r="M140" s="113"/>
    </row>
    <row r="141" spans="2:13">
      <c r="B141" s="12"/>
      <c r="C141" s="12"/>
      <c r="D141" s="12"/>
      <c r="E141" s="12"/>
      <c r="F141" s="12"/>
      <c r="G141" s="12"/>
      <c r="H141" s="12"/>
      <c r="I141" s="12"/>
      <c r="J141" s="12"/>
      <c r="K141" s="12"/>
      <c r="L141" s="12"/>
      <c r="M141" s="12"/>
    </row>
    <row r="142" spans="2:13">
      <c r="B142" s="114"/>
      <c r="C142" s="115"/>
      <c r="D142" s="116"/>
      <c r="E142" s="114"/>
      <c r="F142" s="115"/>
      <c r="G142" s="116"/>
      <c r="H142" s="114"/>
      <c r="I142" s="115"/>
      <c r="J142" s="115"/>
      <c r="K142" s="115"/>
      <c r="L142" s="115"/>
      <c r="M142" s="116"/>
    </row>
    <row r="143" spans="2:13">
      <c r="B143" s="117"/>
      <c r="C143" s="118"/>
      <c r="D143" s="119"/>
      <c r="E143" s="117"/>
      <c r="F143" s="118"/>
      <c r="G143" s="119"/>
      <c r="H143" s="117"/>
      <c r="I143" s="118"/>
      <c r="J143" s="118"/>
      <c r="K143" s="118"/>
      <c r="L143" s="118"/>
      <c r="M143" s="119"/>
    </row>
    <row r="144" spans="2:13">
      <c r="B144" s="117"/>
      <c r="C144" s="118"/>
      <c r="D144" s="119"/>
      <c r="E144" s="117"/>
      <c r="F144" s="118"/>
      <c r="G144" s="119"/>
      <c r="H144" s="117"/>
      <c r="I144" s="118"/>
      <c r="J144" s="118"/>
      <c r="K144" s="118"/>
      <c r="L144" s="118"/>
      <c r="M144" s="119"/>
    </row>
    <row r="145" spans="2:13">
      <c r="B145" s="117"/>
      <c r="C145" s="118"/>
      <c r="D145" s="119"/>
      <c r="E145" s="117"/>
      <c r="F145" s="118"/>
      <c r="G145" s="119"/>
      <c r="H145" s="117"/>
      <c r="I145" s="118"/>
      <c r="J145" s="118"/>
      <c r="K145" s="118"/>
      <c r="L145" s="118"/>
      <c r="M145" s="119"/>
    </row>
    <row r="146" spans="2:13">
      <c r="B146" s="117"/>
      <c r="C146" s="118"/>
      <c r="D146" s="119"/>
      <c r="E146" s="117"/>
      <c r="F146" s="118"/>
      <c r="G146" s="119"/>
      <c r="H146" s="117"/>
      <c r="I146" s="118"/>
      <c r="J146" s="118"/>
      <c r="K146" s="118"/>
      <c r="L146" s="118"/>
      <c r="M146" s="119"/>
    </row>
    <row r="147" spans="2:13">
      <c r="B147" s="117"/>
      <c r="C147" s="118"/>
      <c r="D147" s="119"/>
      <c r="E147" s="117"/>
      <c r="F147" s="118"/>
      <c r="G147" s="119"/>
      <c r="H147" s="117"/>
      <c r="I147" s="118"/>
      <c r="J147" s="118"/>
      <c r="K147" s="118"/>
      <c r="L147" s="118"/>
      <c r="M147" s="119"/>
    </row>
    <row r="148" spans="2:13">
      <c r="B148" s="117"/>
      <c r="C148" s="118"/>
      <c r="D148" s="119"/>
      <c r="E148" s="117"/>
      <c r="F148" s="118"/>
      <c r="G148" s="119"/>
      <c r="H148" s="117"/>
      <c r="I148" s="118"/>
      <c r="J148" s="118"/>
      <c r="K148" s="118"/>
      <c r="L148" s="118"/>
      <c r="M148" s="119"/>
    </row>
    <row r="149" spans="2:13">
      <c r="B149" s="117"/>
      <c r="C149" s="118"/>
      <c r="D149" s="119"/>
      <c r="E149" s="117"/>
      <c r="F149" s="118"/>
      <c r="G149" s="119"/>
      <c r="H149" s="117"/>
      <c r="I149" s="118"/>
      <c r="J149" s="118"/>
      <c r="K149" s="118"/>
      <c r="L149" s="118"/>
      <c r="M149" s="119"/>
    </row>
    <row r="150" spans="2:13">
      <c r="B150" s="117"/>
      <c r="C150" s="118"/>
      <c r="D150" s="119"/>
      <c r="E150" s="117"/>
      <c r="F150" s="118"/>
      <c r="G150" s="119"/>
      <c r="H150" s="117"/>
      <c r="I150" s="118"/>
      <c r="J150" s="118"/>
      <c r="K150" s="118"/>
      <c r="L150" s="118"/>
      <c r="M150" s="119"/>
    </row>
    <row r="151" spans="2:13">
      <c r="B151" s="117"/>
      <c r="C151" s="118"/>
      <c r="D151" s="119"/>
      <c r="E151" s="117"/>
      <c r="F151" s="118"/>
      <c r="G151" s="119"/>
      <c r="H151" s="117"/>
      <c r="I151" s="118"/>
      <c r="J151" s="118"/>
      <c r="K151" s="118"/>
      <c r="L151" s="118"/>
      <c r="M151" s="119"/>
    </row>
    <row r="152" spans="2:13">
      <c r="B152" s="120"/>
      <c r="C152" s="121"/>
      <c r="D152" s="122"/>
      <c r="E152" s="120"/>
      <c r="F152" s="121"/>
      <c r="G152" s="122"/>
      <c r="H152" s="120"/>
      <c r="I152" s="121"/>
      <c r="J152" s="121"/>
      <c r="K152" s="121"/>
      <c r="L152" s="121"/>
      <c r="M152" s="122"/>
    </row>
    <row r="153" spans="2:13">
      <c r="B153" s="123" t="s">
        <v>1212</v>
      </c>
      <c r="C153" s="123"/>
      <c r="D153" s="123"/>
      <c r="E153" s="123" t="s">
        <v>465</v>
      </c>
      <c r="F153" s="123"/>
      <c r="G153" s="123"/>
      <c r="H153" s="124" t="s">
        <v>1213</v>
      </c>
      <c r="I153" s="118"/>
      <c r="J153" s="118"/>
      <c r="K153" s="118"/>
      <c r="L153" s="118"/>
      <c r="M153" s="118"/>
    </row>
    <row r="154" spans="2:13" ht="15" customHeight="1">
      <c r="B154" s="123"/>
      <c r="C154" s="123"/>
      <c r="D154" s="123"/>
      <c r="E154" s="123"/>
      <c r="F154" s="123"/>
      <c r="G154" s="123"/>
      <c r="H154" s="118"/>
      <c r="I154" s="118"/>
      <c r="J154" s="118"/>
      <c r="K154" s="118"/>
      <c r="L154" s="118"/>
      <c r="M154" s="118"/>
    </row>
    <row r="155" spans="2:13">
      <c r="B155" s="123"/>
      <c r="C155" s="123"/>
      <c r="D155" s="123"/>
      <c r="E155" s="123"/>
      <c r="F155" s="123"/>
      <c r="G155" s="123"/>
      <c r="H155" s="118"/>
      <c r="I155" s="118"/>
      <c r="J155" s="118"/>
      <c r="K155" s="118"/>
      <c r="L155" s="118"/>
      <c r="M155" s="118"/>
    </row>
    <row r="156" spans="2:13">
      <c r="B156" s="12"/>
      <c r="C156" s="12"/>
      <c r="D156" s="12"/>
      <c r="E156" s="12"/>
      <c r="F156" s="12"/>
      <c r="G156" s="12"/>
      <c r="H156" s="12"/>
      <c r="I156" s="12"/>
      <c r="J156" s="12"/>
      <c r="K156" s="12"/>
      <c r="L156" s="12"/>
      <c r="M156" s="12"/>
    </row>
    <row r="157" spans="2:13">
      <c r="B157" s="10" t="s">
        <v>1214</v>
      </c>
    </row>
    <row r="158" spans="2:13">
      <c r="B158" s="10"/>
    </row>
    <row r="159" spans="2:13">
      <c r="B159" s="102" t="s">
        <v>466</v>
      </c>
      <c r="C159" s="104" t="s">
        <v>467</v>
      </c>
      <c r="D159" s="105"/>
      <c r="E159" s="105"/>
      <c r="F159" s="105"/>
      <c r="G159" s="105"/>
      <c r="H159" s="105"/>
      <c r="I159" s="105"/>
      <c r="J159" s="105"/>
      <c r="K159" s="105"/>
      <c r="L159" s="105"/>
      <c r="M159" s="106"/>
    </row>
    <row r="160" spans="2:13" ht="15" customHeight="1">
      <c r="B160" s="103"/>
      <c r="C160" s="107"/>
      <c r="D160" s="108"/>
      <c r="E160" s="108"/>
      <c r="F160" s="108"/>
      <c r="G160" s="108"/>
      <c r="H160" s="108"/>
      <c r="I160" s="108"/>
      <c r="J160" s="108"/>
      <c r="K160" s="108"/>
      <c r="L160" s="108"/>
      <c r="M160" s="109"/>
    </row>
    <row r="161" spans="2:13" ht="15" customHeight="1">
      <c r="B161" s="14" t="s">
        <v>307</v>
      </c>
      <c r="C161" s="110" t="s">
        <v>1215</v>
      </c>
      <c r="D161" s="110"/>
      <c r="E161" s="110"/>
      <c r="F161" s="110"/>
      <c r="G161" s="110"/>
      <c r="H161" s="110"/>
      <c r="I161" s="110"/>
      <c r="J161" s="110"/>
      <c r="K161" s="110"/>
      <c r="L161" s="110"/>
      <c r="M161" s="110"/>
    </row>
    <row r="162" spans="2:13">
      <c r="B162" s="27" t="s">
        <v>468</v>
      </c>
      <c r="C162" s="88" t="s">
        <v>1216</v>
      </c>
      <c r="D162" s="88"/>
      <c r="E162" s="88"/>
      <c r="F162" s="88"/>
      <c r="G162" s="88"/>
      <c r="H162" s="88"/>
      <c r="I162" s="88"/>
      <c r="J162" s="88"/>
      <c r="K162" s="88"/>
      <c r="L162" s="88"/>
      <c r="M162" s="88"/>
    </row>
    <row r="163" spans="2:13" ht="23">
      <c r="B163" s="55" t="s">
        <v>1217</v>
      </c>
      <c r="C163" s="99" t="s">
        <v>1218</v>
      </c>
      <c r="D163" s="100"/>
      <c r="E163" s="100"/>
      <c r="F163" s="100"/>
      <c r="G163" s="100"/>
      <c r="H163" s="100"/>
      <c r="I163" s="100"/>
      <c r="J163" s="100"/>
      <c r="K163" s="100"/>
      <c r="L163" s="100"/>
      <c r="M163" s="101"/>
    </row>
    <row r="164" spans="2:13" ht="15" customHeight="1">
      <c r="B164" s="56" t="s">
        <v>1219</v>
      </c>
      <c r="C164" s="99" t="s">
        <v>1220</v>
      </c>
      <c r="D164" s="100"/>
      <c r="E164" s="100"/>
      <c r="F164" s="100"/>
      <c r="G164" s="100"/>
      <c r="H164" s="100"/>
      <c r="I164" s="100"/>
      <c r="J164" s="100"/>
      <c r="K164" s="100"/>
      <c r="L164" s="100"/>
      <c r="M164" s="101"/>
    </row>
    <row r="165" spans="2:13" ht="23">
      <c r="B165" s="56" t="s">
        <v>1221</v>
      </c>
      <c r="C165" s="99" t="s">
        <v>1222</v>
      </c>
      <c r="D165" s="100"/>
      <c r="E165" s="100"/>
      <c r="F165" s="100"/>
      <c r="G165" s="100"/>
      <c r="H165" s="100"/>
      <c r="I165" s="100"/>
      <c r="J165" s="100"/>
      <c r="K165" s="100"/>
      <c r="L165" s="100"/>
      <c r="M165" s="101"/>
    </row>
    <row r="166" spans="2:13">
      <c r="B166" s="86" t="s">
        <v>468</v>
      </c>
      <c r="C166" s="88" t="s">
        <v>469</v>
      </c>
      <c r="D166" s="88"/>
      <c r="E166" s="88"/>
      <c r="F166" s="88"/>
      <c r="G166" s="88"/>
      <c r="H166" s="88"/>
      <c r="I166" s="88"/>
      <c r="J166" s="88"/>
      <c r="K166" s="88"/>
      <c r="L166" s="88"/>
      <c r="M166" s="88"/>
    </row>
    <row r="167" spans="2:13">
      <c r="B167" s="87"/>
      <c r="C167" s="88"/>
      <c r="D167" s="88"/>
      <c r="E167" s="88"/>
      <c r="F167" s="88"/>
      <c r="G167" s="88"/>
      <c r="H167" s="88"/>
      <c r="I167" s="88"/>
      <c r="J167" s="88"/>
      <c r="K167" s="88"/>
      <c r="L167" s="88"/>
      <c r="M167" s="88"/>
    </row>
    <row r="168" spans="2:13" ht="15" customHeight="1">
      <c r="B168" s="86" t="s">
        <v>470</v>
      </c>
      <c r="C168" s="90" t="s">
        <v>471</v>
      </c>
      <c r="D168" s="91"/>
      <c r="E168" s="91"/>
      <c r="F168" s="91"/>
      <c r="G168" s="91"/>
      <c r="H168" s="91"/>
      <c r="I168" s="91"/>
      <c r="J168" s="91"/>
      <c r="K168" s="91"/>
      <c r="L168" s="91"/>
      <c r="M168" s="92"/>
    </row>
    <row r="169" spans="2:13">
      <c r="B169" s="89"/>
      <c r="C169" s="93"/>
      <c r="D169" s="94"/>
      <c r="E169" s="94"/>
      <c r="F169" s="94"/>
      <c r="G169" s="94"/>
      <c r="H169" s="94"/>
      <c r="I169" s="94"/>
      <c r="J169" s="94"/>
      <c r="K169" s="94"/>
      <c r="L169" s="94"/>
      <c r="M169" s="95"/>
    </row>
    <row r="170" spans="2:13">
      <c r="B170" s="89"/>
      <c r="C170" s="93"/>
      <c r="D170" s="94"/>
      <c r="E170" s="94"/>
      <c r="F170" s="94"/>
      <c r="G170" s="94"/>
      <c r="H170" s="94"/>
      <c r="I170" s="94"/>
      <c r="J170" s="94"/>
      <c r="K170" s="94"/>
      <c r="L170" s="94"/>
      <c r="M170" s="95"/>
    </row>
    <row r="171" spans="2:13" ht="19.5" customHeight="1">
      <c r="B171" s="89"/>
      <c r="C171" s="96"/>
      <c r="D171" s="97"/>
      <c r="E171" s="97"/>
      <c r="F171" s="97"/>
      <c r="G171" s="97"/>
      <c r="H171" s="97"/>
      <c r="I171" s="97"/>
      <c r="J171" s="97"/>
      <c r="K171" s="97"/>
      <c r="L171" s="97"/>
      <c r="M171" s="98"/>
    </row>
    <row r="172" spans="2:13" ht="15" customHeight="1">
      <c r="B172" s="84" t="s">
        <v>472</v>
      </c>
      <c r="C172" s="85" t="s">
        <v>473</v>
      </c>
      <c r="D172" s="85"/>
      <c r="E172" s="85"/>
      <c r="F172" s="85"/>
      <c r="G172" s="85"/>
      <c r="H172" s="85"/>
      <c r="I172" s="85"/>
      <c r="J172" s="85"/>
      <c r="K172" s="85"/>
      <c r="L172" s="85"/>
      <c r="M172" s="85"/>
    </row>
    <row r="173" spans="2:13">
      <c r="B173" s="84"/>
      <c r="C173" s="85"/>
      <c r="D173" s="85"/>
      <c r="E173" s="85"/>
      <c r="F173" s="85"/>
      <c r="G173" s="85"/>
      <c r="H173" s="85"/>
      <c r="I173" s="85"/>
      <c r="J173" s="85"/>
      <c r="K173" s="85"/>
      <c r="L173" s="85"/>
      <c r="M173" s="85"/>
    </row>
    <row r="174" spans="2:13">
      <c r="B174" s="84"/>
      <c r="C174" s="85"/>
      <c r="D174" s="85"/>
      <c r="E174" s="85"/>
      <c r="F174" s="85"/>
      <c r="G174" s="85"/>
      <c r="H174" s="85"/>
      <c r="I174" s="85"/>
      <c r="J174" s="85"/>
      <c r="K174" s="85"/>
      <c r="L174" s="85"/>
      <c r="M174" s="85"/>
    </row>
    <row r="175" spans="2:13" ht="15" customHeight="1">
      <c r="B175" s="84" t="s">
        <v>474</v>
      </c>
      <c r="C175" s="85" t="s">
        <v>475</v>
      </c>
      <c r="D175" s="85"/>
      <c r="E175" s="85"/>
      <c r="F175" s="85"/>
      <c r="G175" s="85"/>
      <c r="H175" s="85"/>
      <c r="I175" s="85"/>
      <c r="J175" s="85"/>
      <c r="K175" s="85"/>
      <c r="L175" s="85"/>
      <c r="M175" s="85"/>
    </row>
    <row r="176" spans="2:13">
      <c r="B176" s="84"/>
      <c r="C176" s="85"/>
      <c r="D176" s="85"/>
      <c r="E176" s="85"/>
      <c r="F176" s="85"/>
      <c r="G176" s="85"/>
      <c r="H176" s="85"/>
      <c r="I176" s="85"/>
      <c r="J176" s="85"/>
      <c r="K176" s="85"/>
      <c r="L176" s="85"/>
      <c r="M176" s="85"/>
    </row>
    <row r="178" spans="2:13">
      <c r="B178" s="83" t="s">
        <v>476</v>
      </c>
      <c r="C178" s="83"/>
      <c r="D178" s="83"/>
      <c r="E178" s="83"/>
      <c r="F178" s="83"/>
      <c r="G178" s="83"/>
      <c r="H178" s="83"/>
      <c r="I178" s="83"/>
      <c r="J178" s="83"/>
      <c r="K178" s="83"/>
      <c r="L178" s="83"/>
      <c r="M178" s="83"/>
    </row>
    <row r="179" spans="2:13" ht="15.5">
      <c r="B179" s="81" t="s">
        <v>477</v>
      </c>
      <c r="C179" s="82"/>
      <c r="D179" s="82"/>
      <c r="E179" s="82"/>
      <c r="F179" s="82"/>
      <c r="G179" s="82"/>
      <c r="H179" s="82"/>
      <c r="I179" s="82"/>
      <c r="J179" s="82"/>
      <c r="K179" s="82"/>
      <c r="L179" s="82"/>
      <c r="M179" s="82"/>
    </row>
    <row r="180" spans="2:13" ht="15">
      <c r="B180" s="81" t="s">
        <v>478</v>
      </c>
      <c r="C180" s="82"/>
      <c r="D180" s="82"/>
      <c r="E180" s="82"/>
      <c r="F180" s="82"/>
      <c r="G180" s="82"/>
      <c r="H180" s="82"/>
      <c r="I180" s="82"/>
      <c r="J180" s="82"/>
      <c r="K180" s="82"/>
      <c r="L180" s="82"/>
      <c r="M180" s="82"/>
    </row>
    <row r="181" spans="2:13" ht="15">
      <c r="B181" s="81" t="s">
        <v>479</v>
      </c>
      <c r="C181" s="82"/>
      <c r="D181" s="82"/>
      <c r="E181" s="82"/>
      <c r="F181" s="82"/>
      <c r="G181" s="82"/>
      <c r="H181" s="82"/>
      <c r="I181" s="82"/>
      <c r="J181" s="82"/>
      <c r="K181" s="82"/>
      <c r="L181" s="82"/>
      <c r="M181" s="82"/>
    </row>
    <row r="182" spans="2:13">
      <c r="B182" s="81" t="s">
        <v>480</v>
      </c>
      <c r="C182" s="82"/>
      <c r="D182" s="82"/>
      <c r="E182" s="82"/>
      <c r="F182" s="82"/>
      <c r="G182" s="82"/>
      <c r="H182" s="82"/>
      <c r="I182" s="82"/>
      <c r="J182" s="82"/>
      <c r="K182" s="82"/>
      <c r="L182" s="82"/>
      <c r="M182" s="82"/>
    </row>
    <row r="183" spans="2:13" ht="15">
      <c r="B183" s="81" t="s">
        <v>481</v>
      </c>
      <c r="C183" s="82"/>
      <c r="D183" s="82"/>
      <c r="E183" s="82"/>
      <c r="F183" s="82"/>
      <c r="G183" s="82"/>
      <c r="H183" s="82"/>
      <c r="I183" s="82"/>
      <c r="J183" s="82"/>
      <c r="K183" s="82"/>
      <c r="L183" s="82"/>
      <c r="M183" s="82"/>
    </row>
    <row r="184" spans="2:13" ht="15">
      <c r="B184" s="81" t="s">
        <v>482</v>
      </c>
      <c r="C184" s="82"/>
      <c r="D184" s="82"/>
      <c r="E184" s="82"/>
      <c r="F184" s="82"/>
      <c r="G184" s="82"/>
      <c r="H184" s="82"/>
      <c r="I184" s="82"/>
      <c r="J184" s="82"/>
      <c r="K184" s="82"/>
      <c r="L184" s="82"/>
      <c r="M184" s="82"/>
    </row>
    <row r="186" spans="2:13">
      <c r="B186" s="83" t="s">
        <v>483</v>
      </c>
      <c r="C186" s="83"/>
      <c r="D186" s="83"/>
      <c r="E186" s="83"/>
      <c r="F186" s="83"/>
      <c r="G186" s="83"/>
      <c r="H186" s="83"/>
      <c r="I186" s="83"/>
      <c r="J186" s="83"/>
      <c r="K186" s="83"/>
      <c r="L186" s="83"/>
      <c r="M186" s="83"/>
    </row>
    <row r="187" spans="2:13" ht="15">
      <c r="B187" s="81" t="s">
        <v>484</v>
      </c>
      <c r="C187" s="82"/>
      <c r="D187" s="82"/>
      <c r="E187" s="82"/>
      <c r="F187" s="82"/>
      <c r="G187" s="82"/>
      <c r="H187" s="82"/>
      <c r="I187" s="82"/>
      <c r="J187" s="82"/>
      <c r="K187" s="82"/>
      <c r="L187" s="82"/>
      <c r="M187" s="82"/>
    </row>
  </sheetData>
  <mergeCells count="158">
    <mergeCell ref="D2:K2"/>
    <mergeCell ref="D3:K3"/>
    <mergeCell ref="D5:K5"/>
    <mergeCell ref="B7:M7"/>
    <mergeCell ref="B8:M8"/>
    <mergeCell ref="B9:M19"/>
    <mergeCell ref="B30:B32"/>
    <mergeCell ref="C30:C32"/>
    <mergeCell ref="D30:M32"/>
    <mergeCell ref="B33:B36"/>
    <mergeCell ref="C33:C36"/>
    <mergeCell ref="D33:M36"/>
    <mergeCell ref="B21:M23"/>
    <mergeCell ref="B25:M25"/>
    <mergeCell ref="B27:B28"/>
    <mergeCell ref="C27:C28"/>
    <mergeCell ref="D27:M28"/>
    <mergeCell ref="D29:M2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D60:M60"/>
    <mergeCell ref="D61:M61"/>
    <mergeCell ref="D62:M62"/>
    <mergeCell ref="D63:M63"/>
    <mergeCell ref="D64:M64"/>
    <mergeCell ref="D65:M65"/>
    <mergeCell ref="D54:M54"/>
    <mergeCell ref="B55:B57"/>
    <mergeCell ref="C55:C57"/>
    <mergeCell ref="D55:M57"/>
    <mergeCell ref="D58:M58"/>
    <mergeCell ref="D59:M59"/>
    <mergeCell ref="B72:B73"/>
    <mergeCell ref="C72:C73"/>
    <mergeCell ref="D72:M73"/>
    <mergeCell ref="B74:B75"/>
    <mergeCell ref="C74:C75"/>
    <mergeCell ref="D74:M75"/>
    <mergeCell ref="D66:M66"/>
    <mergeCell ref="D67:M67"/>
    <mergeCell ref="D68:M68"/>
    <mergeCell ref="D69:M69"/>
    <mergeCell ref="B70:B71"/>
    <mergeCell ref="C70:C71"/>
    <mergeCell ref="D70:M71"/>
    <mergeCell ref="D80:M80"/>
    <mergeCell ref="D81:M81"/>
    <mergeCell ref="D82:M82"/>
    <mergeCell ref="D83:M83"/>
    <mergeCell ref="D84:M84"/>
    <mergeCell ref="D85:M85"/>
    <mergeCell ref="B76:B77"/>
    <mergeCell ref="C76:C77"/>
    <mergeCell ref="D76:M77"/>
    <mergeCell ref="B78:B79"/>
    <mergeCell ref="C78:C79"/>
    <mergeCell ref="D78:M79"/>
    <mergeCell ref="D92:M92"/>
    <mergeCell ref="D93:M93"/>
    <mergeCell ref="D94:M94"/>
    <mergeCell ref="D95:M95"/>
    <mergeCell ref="D96:M96"/>
    <mergeCell ref="D97:M97"/>
    <mergeCell ref="D86:M86"/>
    <mergeCell ref="D87:M87"/>
    <mergeCell ref="D88:M88"/>
    <mergeCell ref="D89:M89"/>
    <mergeCell ref="D90:M90"/>
    <mergeCell ref="D91:M91"/>
    <mergeCell ref="B103:B104"/>
    <mergeCell ref="C103:C104"/>
    <mergeCell ref="D103:M104"/>
    <mergeCell ref="B105:B106"/>
    <mergeCell ref="C105:C106"/>
    <mergeCell ref="D105:M106"/>
    <mergeCell ref="D98:M98"/>
    <mergeCell ref="D99:M99"/>
    <mergeCell ref="D100:M100"/>
    <mergeCell ref="B101:B102"/>
    <mergeCell ref="C101:C102"/>
    <mergeCell ref="D101:M102"/>
    <mergeCell ref="D112:M112"/>
    <mergeCell ref="D113:M113"/>
    <mergeCell ref="D114:M114"/>
    <mergeCell ref="D115:M115"/>
    <mergeCell ref="D116:M116"/>
    <mergeCell ref="D117:M117"/>
    <mergeCell ref="B107:B108"/>
    <mergeCell ref="C107:C108"/>
    <mergeCell ref="D107:M108"/>
    <mergeCell ref="D109:M109"/>
    <mergeCell ref="D110:M110"/>
    <mergeCell ref="D111:M111"/>
    <mergeCell ref="D124:M124"/>
    <mergeCell ref="D125:M125"/>
    <mergeCell ref="D126:M126"/>
    <mergeCell ref="D127:M127"/>
    <mergeCell ref="D118:M118"/>
    <mergeCell ref="D119:M119"/>
    <mergeCell ref="D120:M120"/>
    <mergeCell ref="D121:M121"/>
    <mergeCell ref="D122:M122"/>
    <mergeCell ref="D123:M123"/>
    <mergeCell ref="D128:M128"/>
    <mergeCell ref="D129:M129"/>
    <mergeCell ref="D136:M136"/>
    <mergeCell ref="D130:M130"/>
    <mergeCell ref="D131:M131"/>
    <mergeCell ref="D132:M132"/>
    <mergeCell ref="D133:M133"/>
    <mergeCell ref="D134:M134"/>
    <mergeCell ref="D135:M135"/>
    <mergeCell ref="B140:M140"/>
    <mergeCell ref="B142:D152"/>
    <mergeCell ref="E142:G152"/>
    <mergeCell ref="H142:M152"/>
    <mergeCell ref="B153:D155"/>
    <mergeCell ref="E153:G155"/>
    <mergeCell ref="H153:M155"/>
    <mergeCell ref="D137:M137"/>
    <mergeCell ref="D138:M138"/>
    <mergeCell ref="D139:M139"/>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82:M182"/>
    <mergeCell ref="B183:M183"/>
    <mergeCell ref="B184:M184"/>
    <mergeCell ref="B186:M186"/>
    <mergeCell ref="B187:M187"/>
    <mergeCell ref="B175:B176"/>
    <mergeCell ref="C175:M176"/>
    <mergeCell ref="B178:M178"/>
    <mergeCell ref="B179:M179"/>
    <mergeCell ref="B180:M180"/>
    <mergeCell ref="B181:M18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337"/>
  <sheetViews>
    <sheetView workbookViewId="0">
      <pane ySplit="1" topLeftCell="A287" activePane="bottomLeft" state="frozen"/>
      <selection pane="bottomLeft" activeCell="AJ308" sqref="AJ308"/>
    </sheetView>
  </sheetViews>
  <sheetFormatPr baseColWidth="10" defaultColWidth="8.7265625" defaultRowHeight="14.5"/>
  <cols>
    <col min="2" max="2" width="10.81640625" hidden="1" customWidth="1"/>
    <col min="3" max="3" width="10.54296875" hidden="1" customWidth="1"/>
    <col min="4" max="9" width="8.7265625" hidden="1" customWidth="1"/>
    <col min="10" max="10" width="11.81640625" hidden="1" customWidth="1"/>
    <col min="11" max="11" width="8.7265625" hidden="1" customWidth="1"/>
    <col min="12" max="12" width="10.81640625" hidden="1" customWidth="1"/>
    <col min="13" max="13" width="8.7265625" hidden="1" customWidth="1"/>
    <col min="14" max="14" width="11.81640625" hidden="1" customWidth="1"/>
    <col min="15" max="15" width="8.7265625" hidden="1" customWidth="1"/>
    <col min="16" max="16" width="8.81640625" hidden="1" customWidth="1"/>
    <col min="17" max="17" width="8.7265625" hidden="1" customWidth="1"/>
    <col min="18" max="19" width="11.81640625" hidden="1" customWidth="1"/>
    <col min="20" max="20" width="10.81640625" hidden="1" customWidth="1"/>
    <col min="21" max="21" width="10.1796875" hidden="1" customWidth="1"/>
    <col min="22" max="23" width="8.7265625" hidden="1" customWidth="1"/>
    <col min="24" max="24" width="10.81640625" hidden="1" customWidth="1"/>
    <col min="25" max="32" width="8.7265625" hidden="1" customWidth="1"/>
    <col min="33" max="78" width="8.7265625" customWidth="1"/>
  </cols>
  <sheetData>
    <row r="1" spans="1:81" s="3" customFormat="1" ht="15" customHeight="1" thickBot="1">
      <c r="A1" s="59" t="s">
        <v>0</v>
      </c>
      <c r="B1" s="60" t="s">
        <v>307</v>
      </c>
      <c r="C1" s="60" t="s">
        <v>298</v>
      </c>
      <c r="D1" s="60" t="s">
        <v>310</v>
      </c>
      <c r="E1" s="60" t="s">
        <v>1188</v>
      </c>
      <c r="F1" s="60" t="s">
        <v>314</v>
      </c>
      <c r="G1" s="60" t="s">
        <v>316</v>
      </c>
      <c r="H1" s="60" t="s">
        <v>318</v>
      </c>
      <c r="I1" s="60" t="s">
        <v>1189</v>
      </c>
      <c r="J1" s="60" t="s">
        <v>1190</v>
      </c>
      <c r="K1" s="60" t="s">
        <v>324</v>
      </c>
      <c r="L1" s="60" t="s">
        <v>326</v>
      </c>
      <c r="M1" s="60" t="s">
        <v>328</v>
      </c>
      <c r="N1" s="60" t="s">
        <v>1191</v>
      </c>
      <c r="O1" s="60" t="s">
        <v>1192</v>
      </c>
      <c r="P1" s="60" t="s">
        <v>1193</v>
      </c>
      <c r="Q1" s="60" t="s">
        <v>1223</v>
      </c>
      <c r="R1" s="60" t="s">
        <v>1224</v>
      </c>
      <c r="S1" s="60" t="s">
        <v>340</v>
      </c>
      <c r="T1" s="60" t="s">
        <v>1225</v>
      </c>
      <c r="U1" s="60" t="s">
        <v>1226</v>
      </c>
      <c r="V1" s="60" t="s">
        <v>1227</v>
      </c>
      <c r="W1" s="60" t="s">
        <v>1228</v>
      </c>
      <c r="X1" s="60" t="s">
        <v>1229</v>
      </c>
      <c r="Y1" s="60" t="s">
        <v>352</v>
      </c>
      <c r="Z1" s="60" t="s">
        <v>354</v>
      </c>
      <c r="AA1" s="60" t="s">
        <v>1230</v>
      </c>
      <c r="AB1" s="60" t="s">
        <v>1231</v>
      </c>
      <c r="AC1" s="60" t="s">
        <v>1232</v>
      </c>
      <c r="AD1" s="60" t="s">
        <v>1233</v>
      </c>
      <c r="AE1" s="60" t="s">
        <v>364</v>
      </c>
      <c r="AF1" s="60" t="s">
        <v>1234</v>
      </c>
      <c r="AG1" s="60" t="s">
        <v>1235</v>
      </c>
      <c r="AH1" s="61" t="s">
        <v>1236</v>
      </c>
      <c r="AI1" s="61" t="s">
        <v>372</v>
      </c>
      <c r="AJ1" s="61" t="s">
        <v>1237</v>
      </c>
      <c r="AK1" s="61" t="s">
        <v>1238</v>
      </c>
      <c r="AL1" s="61" t="s">
        <v>1239</v>
      </c>
      <c r="AM1" s="61" t="s">
        <v>1240</v>
      </c>
      <c r="AN1" s="61" t="s">
        <v>1241</v>
      </c>
      <c r="AO1" s="61" t="s">
        <v>1242</v>
      </c>
      <c r="AP1" s="61" t="s">
        <v>1243</v>
      </c>
      <c r="AQ1" s="61" t="s">
        <v>1244</v>
      </c>
      <c r="AR1" s="61" t="s">
        <v>1245</v>
      </c>
      <c r="AS1" s="61" t="s">
        <v>1246</v>
      </c>
      <c r="AT1" s="61" t="s">
        <v>1247</v>
      </c>
      <c r="AU1" s="61" t="s">
        <v>396</v>
      </c>
      <c r="AV1" s="61" t="s">
        <v>1248</v>
      </c>
      <c r="AW1" s="61" t="s">
        <v>400</v>
      </c>
      <c r="AX1" s="61" t="s">
        <v>1249</v>
      </c>
      <c r="AY1" s="61" t="s">
        <v>1250</v>
      </c>
      <c r="AZ1" s="61" t="s">
        <v>1251</v>
      </c>
      <c r="BA1" s="61" t="s">
        <v>1252</v>
      </c>
      <c r="BB1" s="61" t="s">
        <v>1253</v>
      </c>
      <c r="BC1" s="61" t="s">
        <v>1</v>
      </c>
      <c r="BD1" s="61" t="s">
        <v>1254</v>
      </c>
      <c r="BE1" s="61" t="s">
        <v>291</v>
      </c>
      <c r="BF1" s="61" t="s">
        <v>418</v>
      </c>
      <c r="BG1" s="61" t="s">
        <v>1255</v>
      </c>
      <c r="BH1" s="61" t="s">
        <v>1256</v>
      </c>
      <c r="BI1" s="61" t="s">
        <v>1257</v>
      </c>
      <c r="BJ1" s="61" t="s">
        <v>1258</v>
      </c>
      <c r="BK1" s="61" t="s">
        <v>1259</v>
      </c>
      <c r="BL1" s="61" t="s">
        <v>1260</v>
      </c>
      <c r="BM1" s="61" t="s">
        <v>1261</v>
      </c>
      <c r="BN1" s="61" t="s">
        <v>1262</v>
      </c>
      <c r="BO1" s="61" t="s">
        <v>1263</v>
      </c>
      <c r="BP1" s="61" t="s">
        <v>1264</v>
      </c>
      <c r="BQ1" s="61" t="s">
        <v>1265</v>
      </c>
      <c r="BR1" s="61" t="s">
        <v>1266</v>
      </c>
      <c r="BS1" s="61" t="s">
        <v>1267</v>
      </c>
      <c r="BT1" s="61" t="s">
        <v>1268</v>
      </c>
      <c r="BU1" s="61" t="s">
        <v>1269</v>
      </c>
      <c r="BV1" s="61" t="s">
        <v>1270</v>
      </c>
      <c r="BW1" s="61" t="s">
        <v>1271</v>
      </c>
      <c r="BX1" s="61" t="s">
        <v>1272</v>
      </c>
      <c r="BY1" s="61" t="s">
        <v>1273</v>
      </c>
      <c r="BZ1" s="61" t="s">
        <v>1274</v>
      </c>
      <c r="CA1" s="61" t="s">
        <v>460</v>
      </c>
      <c r="CB1" s="61" t="s">
        <v>1275</v>
      </c>
      <c r="CC1" s="62" t="s">
        <v>1276</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row r="291" spans="1:81">
      <c r="A291" s="2" t="s">
        <v>1379</v>
      </c>
      <c r="B291" s="79">
        <v>6</v>
      </c>
      <c r="C291" s="1">
        <f>7.64*100</f>
        <v>764</v>
      </c>
      <c r="D291" s="1">
        <v>80</v>
      </c>
      <c r="E291" s="1">
        <v>80</v>
      </c>
      <c r="F291" s="2" t="s">
        <v>485</v>
      </c>
      <c r="G291" s="2" t="s">
        <v>485</v>
      </c>
      <c r="H291" s="2" t="s">
        <v>485</v>
      </c>
      <c r="I291" s="1">
        <v>46</v>
      </c>
      <c r="J291" s="1">
        <v>45</v>
      </c>
      <c r="K291" s="2" t="s">
        <v>485</v>
      </c>
      <c r="L291" s="2" t="s">
        <v>485</v>
      </c>
      <c r="M291" s="2" t="s">
        <v>485</v>
      </c>
      <c r="N291" s="1">
        <v>3.8</v>
      </c>
      <c r="O291" s="1">
        <v>3.5</v>
      </c>
      <c r="P291" s="1">
        <f>O291/2</f>
        <v>1.75</v>
      </c>
      <c r="Q291" s="1">
        <v>5.2</v>
      </c>
      <c r="R291" s="1">
        <v>5.2</v>
      </c>
      <c r="S291" s="1" t="s">
        <v>485</v>
      </c>
      <c r="T291" s="1" t="s">
        <v>485</v>
      </c>
      <c r="U291" s="2" t="s">
        <v>485</v>
      </c>
      <c r="V291" s="1">
        <v>10.199999999999999</v>
      </c>
      <c r="W291" s="1">
        <v>15</v>
      </c>
      <c r="X291" s="1">
        <v>6.9</v>
      </c>
      <c r="Y291" s="2" t="s">
        <v>485</v>
      </c>
      <c r="Z291" s="2" t="s">
        <v>485</v>
      </c>
      <c r="AA291" s="2" t="s">
        <v>485</v>
      </c>
      <c r="AB291" s="2" t="s">
        <v>485</v>
      </c>
      <c r="AC291" s="2" t="s">
        <v>485</v>
      </c>
      <c r="AD291" s="1">
        <v>4.4000000000000004</v>
      </c>
      <c r="AE291" s="2" t="s">
        <v>485</v>
      </c>
      <c r="AF291" s="2" t="s">
        <v>485</v>
      </c>
      <c r="AG291" s="79">
        <v>15.7</v>
      </c>
      <c r="AH291" s="1" t="s">
        <v>485</v>
      </c>
      <c r="AI291" s="1" t="s">
        <v>485</v>
      </c>
      <c r="AJ291" s="1">
        <f>0.8014</f>
        <v>0.8014</v>
      </c>
      <c r="AK291" s="1">
        <v>23.22</v>
      </c>
      <c r="AL291" s="1">
        <v>20.03</v>
      </c>
      <c r="AM291" s="1">
        <v>32.4</v>
      </c>
      <c r="AN291" s="1">
        <v>0.84889999999999999</v>
      </c>
      <c r="AO291" s="1">
        <v>5.8179999999999996</v>
      </c>
      <c r="AP291" s="1">
        <v>3.6909999999999998</v>
      </c>
      <c r="AQ291" s="1">
        <v>10.5</v>
      </c>
      <c r="AR291" s="1" t="s">
        <v>485</v>
      </c>
      <c r="AS291" s="1" t="s">
        <v>485</v>
      </c>
      <c r="AT291" s="1" t="s">
        <v>485</v>
      </c>
      <c r="AU291" s="1">
        <v>6.7240000000000002</v>
      </c>
      <c r="AV291" s="1">
        <v>0.11799999999999999</v>
      </c>
      <c r="AW291" s="1" t="s">
        <v>485</v>
      </c>
      <c r="AX291" s="1"/>
      <c r="AY291" s="1"/>
      <c r="AZ291" s="1" t="s">
        <v>485</v>
      </c>
      <c r="BA291" s="1" t="s">
        <v>485</v>
      </c>
      <c r="BB291" s="1"/>
      <c r="BC291" s="1"/>
      <c r="BD291" s="1" t="s">
        <v>485</v>
      </c>
      <c r="BE291" s="1" t="s">
        <v>485</v>
      </c>
      <c r="BF291" s="1" t="s">
        <v>485</v>
      </c>
      <c r="BG291" s="1" t="s">
        <v>485</v>
      </c>
      <c r="BH291" s="1" t="s">
        <v>485</v>
      </c>
      <c r="BI291" s="1" t="s">
        <v>485</v>
      </c>
      <c r="BJ291" s="1" t="s">
        <v>485</v>
      </c>
      <c r="BK291" s="1" t="s">
        <v>485</v>
      </c>
      <c r="BL291" s="1" t="s">
        <v>485</v>
      </c>
      <c r="BM291" s="1" t="s">
        <v>485</v>
      </c>
      <c r="BN291" s="1" t="s">
        <v>485</v>
      </c>
      <c r="BO291" s="1" t="s">
        <v>485</v>
      </c>
      <c r="BP291" s="1" t="s">
        <v>485</v>
      </c>
      <c r="BQ291" s="1" t="s">
        <v>485</v>
      </c>
      <c r="BR291" s="1" t="s">
        <v>485</v>
      </c>
      <c r="BS291" s="1" t="s">
        <v>485</v>
      </c>
      <c r="BT291" s="1">
        <v>12.6</v>
      </c>
      <c r="BU291" s="1">
        <v>74.8</v>
      </c>
      <c r="BV291" s="70">
        <f t="shared" ref="BV291:BV308" si="0">I291+4*Q291+4*CB291+4*PI()*(X291-0.5*N291)+2*CA291</f>
        <v>294.03185307179587</v>
      </c>
      <c r="BW291" s="1" t="s">
        <v>485</v>
      </c>
      <c r="BX291" s="70">
        <f t="shared" ref="BX291:BX308" si="1">2*I291+4*Q291+4*CB291+4*PI()*(X291-0.5*N291)+2*CA291</f>
        <v>340.03185307179587</v>
      </c>
      <c r="BY291" s="70">
        <f>2*D291+I291</f>
        <v>206</v>
      </c>
      <c r="BZ291" s="70">
        <f>2*D291+I291*2</f>
        <v>252</v>
      </c>
      <c r="CA291" s="1">
        <v>50</v>
      </c>
      <c r="CB291" s="1">
        <v>16.100000000000001</v>
      </c>
      <c r="CC291" s="1" t="s">
        <v>485</v>
      </c>
    </row>
    <row r="292" spans="1:81">
      <c r="A292" s="2" t="s">
        <v>1380</v>
      </c>
      <c r="B292" s="79">
        <v>8.1</v>
      </c>
      <c r="C292" s="1">
        <v>1032</v>
      </c>
      <c r="D292" s="1">
        <v>100</v>
      </c>
      <c r="E292" s="1">
        <f>D292</f>
        <v>100</v>
      </c>
      <c r="F292" s="2" t="s">
        <v>485</v>
      </c>
      <c r="G292" s="2" t="s">
        <v>485</v>
      </c>
      <c r="H292" s="2" t="s">
        <v>485</v>
      </c>
      <c r="I292" s="1">
        <v>55</v>
      </c>
      <c r="J292" s="1">
        <v>55</v>
      </c>
      <c r="K292" s="2" t="s">
        <v>485</v>
      </c>
      <c r="L292" s="2" t="s">
        <v>485</v>
      </c>
      <c r="M292" s="2" t="s">
        <v>485</v>
      </c>
      <c r="N292" s="1">
        <v>4.0999999999999996</v>
      </c>
      <c r="O292" s="1">
        <v>4</v>
      </c>
      <c r="P292" s="1">
        <f>O292/2</f>
        <v>2</v>
      </c>
      <c r="Q292" s="1">
        <v>5.7</v>
      </c>
      <c r="R292" s="1">
        <v>5.5</v>
      </c>
      <c r="S292" s="1" t="s">
        <v>485</v>
      </c>
      <c r="T292" s="1" t="s">
        <v>485</v>
      </c>
      <c r="U292" s="2" t="s">
        <v>485</v>
      </c>
      <c r="V292" s="1">
        <v>12.7</v>
      </c>
      <c r="W292" s="1">
        <v>15</v>
      </c>
      <c r="X292" s="1">
        <v>9.1</v>
      </c>
      <c r="Y292" s="2" t="s">
        <v>485</v>
      </c>
      <c r="Z292" s="2" t="s">
        <v>485</v>
      </c>
      <c r="AA292" s="2" t="s">
        <v>485</v>
      </c>
      <c r="AB292" s="2" t="s">
        <v>485</v>
      </c>
      <c r="AC292" s="2" t="s">
        <v>485</v>
      </c>
      <c r="AD292" s="1">
        <v>4.8</v>
      </c>
      <c r="AE292" s="2" t="s">
        <v>485</v>
      </c>
      <c r="AF292" s="2" t="s">
        <v>485</v>
      </c>
      <c r="AG292" s="79">
        <v>18.2</v>
      </c>
      <c r="AH292" s="1"/>
      <c r="AI292" s="1"/>
      <c r="AJ292" s="1">
        <v>0.8014</v>
      </c>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70">
        <f t="shared" si="0"/>
        <v>306.39291283123214</v>
      </c>
      <c r="BW292" s="1"/>
      <c r="BX292" s="70">
        <f t="shared" si="1"/>
        <v>361.3929128312322</v>
      </c>
      <c r="BY292" s="70">
        <f t="shared" ref="BY292:BY323" si="2">2*D292+I292</f>
        <v>255</v>
      </c>
      <c r="BZ292" s="70">
        <f t="shared" ref="BZ292:BZ323" si="3">2*D292+I292*2</f>
        <v>310</v>
      </c>
      <c r="CA292" s="1">
        <v>70</v>
      </c>
      <c r="CB292" s="1"/>
      <c r="CC292" s="1"/>
    </row>
    <row r="293" spans="1:81">
      <c r="A293" s="2" t="s">
        <v>1381</v>
      </c>
      <c r="B293" s="79">
        <v>10.4</v>
      </c>
      <c r="C293" s="1">
        <v>1321</v>
      </c>
      <c r="D293" s="1">
        <v>120</v>
      </c>
      <c r="E293" s="1">
        <f t="shared" ref="E293:E307" si="4">D293</f>
        <v>120</v>
      </c>
      <c r="F293" s="2" t="s">
        <v>485</v>
      </c>
      <c r="G293" s="2" t="s">
        <v>485</v>
      </c>
      <c r="H293" s="2" t="s">
        <v>485</v>
      </c>
      <c r="I293" s="1">
        <v>64</v>
      </c>
      <c r="J293" s="1">
        <v>60</v>
      </c>
      <c r="K293" s="2" t="s">
        <v>485</v>
      </c>
      <c r="L293" s="2" t="s">
        <v>485</v>
      </c>
      <c r="M293" s="2" t="s">
        <v>485</v>
      </c>
      <c r="N293" s="1">
        <v>4.4000000000000004</v>
      </c>
      <c r="O293" s="1">
        <v>4.5</v>
      </c>
      <c r="P293" s="1">
        <f t="shared" ref="P293:P320" si="5">O293/2</f>
        <v>2.25</v>
      </c>
      <c r="Q293" s="1">
        <v>6.3</v>
      </c>
      <c r="R293" s="1">
        <v>6.5</v>
      </c>
      <c r="S293" s="1" t="s">
        <v>485</v>
      </c>
      <c r="T293" s="1" t="s">
        <v>485</v>
      </c>
      <c r="U293" s="2" t="s">
        <v>485</v>
      </c>
      <c r="V293" s="1">
        <v>13.3</v>
      </c>
      <c r="W293" s="1">
        <v>15</v>
      </c>
      <c r="X293" s="1">
        <v>9.1999999999999993</v>
      </c>
      <c r="Y293" s="2" t="s">
        <v>485</v>
      </c>
      <c r="Z293" s="2" t="s">
        <v>485</v>
      </c>
      <c r="AA293" s="2" t="s">
        <v>485</v>
      </c>
      <c r="AB293" s="2" t="s">
        <v>485</v>
      </c>
      <c r="AC293" s="2" t="s">
        <v>485</v>
      </c>
      <c r="AD293" s="1">
        <v>5.0999999999999996</v>
      </c>
      <c r="AE293" s="2" t="s">
        <v>485</v>
      </c>
      <c r="AF293" s="2" t="s">
        <v>485</v>
      </c>
      <c r="AG293" s="79">
        <v>21.2</v>
      </c>
      <c r="AH293" s="1"/>
      <c r="AI293" s="1"/>
      <c r="AJ293" s="1">
        <v>1.71</v>
      </c>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70">
        <f t="shared" si="0"/>
        <v>357.16459430051418</v>
      </c>
      <c r="BW293" s="1"/>
      <c r="BX293" s="70">
        <f t="shared" si="1"/>
        <v>421.16459430051418</v>
      </c>
      <c r="BY293" s="70">
        <f t="shared" si="2"/>
        <v>304</v>
      </c>
      <c r="BZ293" s="70">
        <f t="shared" si="3"/>
        <v>368</v>
      </c>
      <c r="CA293" s="1">
        <v>90</v>
      </c>
      <c r="CB293" s="1"/>
      <c r="CC293" s="1"/>
    </row>
    <row r="294" spans="1:81">
      <c r="A294" s="2" t="s">
        <v>1382</v>
      </c>
      <c r="B294" s="79">
        <v>12.9</v>
      </c>
      <c r="C294" s="1">
        <v>1643</v>
      </c>
      <c r="D294" s="1">
        <v>140</v>
      </c>
      <c r="E294" s="1">
        <f t="shared" si="4"/>
        <v>140</v>
      </c>
      <c r="F294" s="2" t="s">
        <v>485</v>
      </c>
      <c r="G294" s="2" t="s">
        <v>485</v>
      </c>
      <c r="H294" s="2" t="s">
        <v>485</v>
      </c>
      <c r="I294" s="1">
        <v>73</v>
      </c>
      <c r="J294" s="1">
        <v>70</v>
      </c>
      <c r="K294" s="2" t="s">
        <v>485</v>
      </c>
      <c r="L294" s="2" t="s">
        <v>485</v>
      </c>
      <c r="M294" s="2" t="s">
        <v>485</v>
      </c>
      <c r="N294" s="1">
        <v>4.7</v>
      </c>
      <c r="O294" s="1">
        <v>4.5</v>
      </c>
      <c r="P294" s="1">
        <f t="shared" si="5"/>
        <v>2.25</v>
      </c>
      <c r="Q294" s="1">
        <v>6.9</v>
      </c>
      <c r="R294" s="1">
        <v>7</v>
      </c>
      <c r="S294" s="1" t="s">
        <v>485</v>
      </c>
      <c r="T294" s="1" t="s">
        <v>485</v>
      </c>
      <c r="U294" s="2" t="s">
        <v>485</v>
      </c>
      <c r="V294" s="1">
        <v>13.9</v>
      </c>
      <c r="W294" s="1">
        <v>15</v>
      </c>
      <c r="X294" s="1">
        <v>9.4</v>
      </c>
      <c r="Y294" s="2" t="s">
        <v>485</v>
      </c>
      <c r="Z294" s="2" t="s">
        <v>485</v>
      </c>
      <c r="AA294" s="2" t="s">
        <v>485</v>
      </c>
      <c r="AB294" s="2" t="s">
        <v>485</v>
      </c>
      <c r="AC294" s="2" t="s">
        <v>485</v>
      </c>
      <c r="AD294" s="1">
        <v>5.3</v>
      </c>
      <c r="AE294" s="2" t="s">
        <v>485</v>
      </c>
      <c r="AF294" s="2" t="s">
        <v>485</v>
      </c>
      <c r="AG294" s="79">
        <v>23.9</v>
      </c>
      <c r="AH294" s="1"/>
      <c r="AI294" s="1"/>
      <c r="AJ294" s="1">
        <v>3.1779999999999999</v>
      </c>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70">
        <f t="shared" si="0"/>
        <v>209.19291283123215</v>
      </c>
      <c r="BW294" s="1"/>
      <c r="BX294" s="70">
        <f t="shared" si="1"/>
        <v>282.19291283123215</v>
      </c>
      <c r="BY294" s="70">
        <f t="shared" si="2"/>
        <v>353</v>
      </c>
      <c r="BZ294" s="70">
        <f t="shared" si="3"/>
        <v>426</v>
      </c>
      <c r="CA294" s="1">
        <v>10</v>
      </c>
      <c r="CB294" s="1"/>
      <c r="CC294" s="1"/>
    </row>
    <row r="295" spans="1:81">
      <c r="A295" s="2" t="s">
        <v>1383</v>
      </c>
      <c r="B295" s="79">
        <v>15.8</v>
      </c>
      <c r="C295" s="1">
        <v>2009</v>
      </c>
      <c r="D295" s="1">
        <v>160</v>
      </c>
      <c r="E295" s="1">
        <f t="shared" si="4"/>
        <v>160</v>
      </c>
      <c r="F295" s="2" t="s">
        <v>485</v>
      </c>
      <c r="G295" s="2" t="s">
        <v>485</v>
      </c>
      <c r="H295" s="2" t="s">
        <v>485</v>
      </c>
      <c r="I295" s="1">
        <v>82</v>
      </c>
      <c r="J295" s="1">
        <v>80</v>
      </c>
      <c r="K295" s="2" t="s">
        <v>485</v>
      </c>
      <c r="L295" s="2" t="s">
        <v>485</v>
      </c>
      <c r="M295" s="2" t="s">
        <v>485</v>
      </c>
      <c r="N295" s="1">
        <v>5</v>
      </c>
      <c r="O295" s="1">
        <v>5</v>
      </c>
      <c r="P295" s="1">
        <f t="shared" si="5"/>
        <v>2.5</v>
      </c>
      <c r="Q295" s="1">
        <v>7.4</v>
      </c>
      <c r="R295" s="1">
        <v>7.5</v>
      </c>
      <c r="S295" s="1" t="s">
        <v>485</v>
      </c>
      <c r="T295" s="1" t="s">
        <v>485</v>
      </c>
      <c r="U295" s="2" t="s">
        <v>485</v>
      </c>
      <c r="V295" s="1">
        <v>16.399999999999999</v>
      </c>
      <c r="W295" s="1">
        <v>20</v>
      </c>
      <c r="X295" s="1">
        <v>11.5</v>
      </c>
      <c r="Y295" s="2" t="s">
        <v>485</v>
      </c>
      <c r="Z295" s="2" t="s">
        <v>485</v>
      </c>
      <c r="AA295" s="2" t="s">
        <v>485</v>
      </c>
      <c r="AB295" s="2" t="s">
        <v>485</v>
      </c>
      <c r="AC295" s="2" t="s">
        <v>485</v>
      </c>
      <c r="AD295" s="1">
        <v>5.5</v>
      </c>
      <c r="AE295" s="2" t="s">
        <v>485</v>
      </c>
      <c r="AF295" s="2" t="s">
        <v>485</v>
      </c>
      <c r="AG295" s="79">
        <v>25.4</v>
      </c>
      <c r="AH295" s="1"/>
      <c r="AI295" s="1"/>
      <c r="AJ295" s="1">
        <v>5.4119999999999999</v>
      </c>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70">
        <f t="shared" si="0"/>
        <v>464.69733552923253</v>
      </c>
      <c r="BW295" s="1"/>
      <c r="BX295" s="70">
        <f t="shared" si="1"/>
        <v>546.69733552923253</v>
      </c>
      <c r="BY295" s="70">
        <f t="shared" si="2"/>
        <v>402</v>
      </c>
      <c r="BZ295" s="70">
        <f t="shared" si="3"/>
        <v>484</v>
      </c>
      <c r="CA295" s="1">
        <v>120</v>
      </c>
      <c r="CB295" s="1"/>
      <c r="CC295" s="1"/>
    </row>
    <row r="296" spans="1:81">
      <c r="A296" s="2" t="s">
        <v>1384</v>
      </c>
      <c r="B296" s="79">
        <v>18.899999999999999</v>
      </c>
      <c r="C296" s="1">
        <v>2395</v>
      </c>
      <c r="D296" s="1">
        <v>180</v>
      </c>
      <c r="E296" s="1">
        <f t="shared" si="4"/>
        <v>180</v>
      </c>
      <c r="F296" s="2" t="s">
        <v>485</v>
      </c>
      <c r="G296" s="2" t="s">
        <v>485</v>
      </c>
      <c r="H296" s="2" t="s">
        <v>485</v>
      </c>
      <c r="I296" s="1">
        <v>91</v>
      </c>
      <c r="J296" s="1">
        <v>90</v>
      </c>
      <c r="K296" s="2" t="s">
        <v>485</v>
      </c>
      <c r="L296" s="2" t="s">
        <v>485</v>
      </c>
      <c r="M296" s="2" t="s">
        <v>485</v>
      </c>
      <c r="N296" s="1">
        <v>5.3</v>
      </c>
      <c r="O296" s="1">
        <v>5</v>
      </c>
      <c r="P296" s="1">
        <f t="shared" si="5"/>
        <v>2.5</v>
      </c>
      <c r="Q296" s="1">
        <v>8</v>
      </c>
      <c r="R296" s="1">
        <v>8</v>
      </c>
      <c r="S296" s="1" t="s">
        <v>485</v>
      </c>
      <c r="T296" s="1" t="s">
        <v>485</v>
      </c>
      <c r="U296" s="2" t="s">
        <v>485</v>
      </c>
      <c r="V296" s="1">
        <v>17</v>
      </c>
      <c r="W296" s="1">
        <v>20</v>
      </c>
      <c r="X296" s="1">
        <v>11.7</v>
      </c>
      <c r="Y296" s="2" t="s">
        <v>485</v>
      </c>
      <c r="Z296" s="2" t="s">
        <v>485</v>
      </c>
      <c r="AA296" s="2" t="s">
        <v>485</v>
      </c>
      <c r="AB296" s="2" t="s">
        <v>485</v>
      </c>
      <c r="AC296" s="2" t="s">
        <v>485</v>
      </c>
      <c r="AD296" s="1">
        <v>5.7</v>
      </c>
      <c r="AE296" s="2" t="s">
        <v>485</v>
      </c>
      <c r="AF296" s="2" t="s">
        <v>485</v>
      </c>
      <c r="AG296" s="79">
        <v>27.5</v>
      </c>
      <c r="AH296" s="1"/>
      <c r="AI296" s="1"/>
      <c r="AJ296" s="1">
        <v>8.6929999999999996</v>
      </c>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70">
        <f t="shared" si="0"/>
        <v>516.72565405995056</v>
      </c>
      <c r="BW296" s="1"/>
      <c r="BX296" s="70">
        <f t="shared" si="1"/>
        <v>607.72565405995056</v>
      </c>
      <c r="BY296" s="70">
        <f t="shared" si="2"/>
        <v>451</v>
      </c>
      <c r="BZ296" s="70">
        <f t="shared" si="3"/>
        <v>542</v>
      </c>
      <c r="CA296" s="1">
        <v>140</v>
      </c>
      <c r="CB296" s="1"/>
      <c r="CC296" s="1"/>
    </row>
    <row r="297" spans="1:81">
      <c r="A297" s="2" t="s">
        <v>1385</v>
      </c>
      <c r="B297" s="79">
        <v>22.4</v>
      </c>
      <c r="C297" s="1">
        <v>2848</v>
      </c>
      <c r="D297" s="1">
        <v>200</v>
      </c>
      <c r="E297" s="1">
        <f t="shared" si="4"/>
        <v>200</v>
      </c>
      <c r="F297" s="2" t="s">
        <v>485</v>
      </c>
      <c r="G297" s="2" t="s">
        <v>485</v>
      </c>
      <c r="H297" s="2" t="s">
        <v>485</v>
      </c>
      <c r="I297" s="1">
        <v>100</v>
      </c>
      <c r="J297" s="1">
        <v>100</v>
      </c>
      <c r="K297" s="2" t="s">
        <v>485</v>
      </c>
      <c r="L297" s="2" t="s">
        <v>485</v>
      </c>
      <c r="M297" s="2" t="s">
        <v>485</v>
      </c>
      <c r="N297" s="1">
        <v>5.6</v>
      </c>
      <c r="O297" s="1">
        <v>5.5</v>
      </c>
      <c r="P297" s="1">
        <f t="shared" si="5"/>
        <v>2.75</v>
      </c>
      <c r="Q297" s="1">
        <v>8.5</v>
      </c>
      <c r="R297" s="1">
        <v>8.5</v>
      </c>
      <c r="S297" s="1" t="s">
        <v>485</v>
      </c>
      <c r="T297" s="1" t="s">
        <v>485</v>
      </c>
      <c r="U297" s="2" t="s">
        <v>485</v>
      </c>
      <c r="V297" s="1">
        <v>20.5</v>
      </c>
      <c r="W297" s="1">
        <v>25</v>
      </c>
      <c r="X297" s="1">
        <v>14.8</v>
      </c>
      <c r="Y297" s="2" t="s">
        <v>485</v>
      </c>
      <c r="Z297" s="2" t="s">
        <v>485</v>
      </c>
      <c r="AA297" s="2" t="s">
        <v>485</v>
      </c>
      <c r="AB297" s="2" t="s">
        <v>485</v>
      </c>
      <c r="AC297" s="2" t="s">
        <v>485</v>
      </c>
      <c r="AD297" s="1">
        <v>5.9</v>
      </c>
      <c r="AE297" s="2" t="s">
        <v>485</v>
      </c>
      <c r="AF297" s="2" t="s">
        <v>485</v>
      </c>
      <c r="AG297" s="79">
        <v>28.4</v>
      </c>
      <c r="AH297" s="1"/>
      <c r="AI297" s="1"/>
      <c r="AJ297" s="1">
        <v>13.17</v>
      </c>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70">
        <f t="shared" si="0"/>
        <v>584.79644737231001</v>
      </c>
      <c r="BW297" s="1"/>
      <c r="BX297" s="70">
        <f t="shared" si="1"/>
        <v>684.79644737231001</v>
      </c>
      <c r="BY297" s="70">
        <f t="shared" si="2"/>
        <v>500</v>
      </c>
      <c r="BZ297" s="70">
        <f t="shared" si="3"/>
        <v>600</v>
      </c>
      <c r="CA297" s="1">
        <v>150</v>
      </c>
      <c r="CB297" s="1"/>
      <c r="CC297" s="1"/>
    </row>
    <row r="298" spans="1:81">
      <c r="A298" s="2" t="s">
        <v>1386</v>
      </c>
      <c r="B298" s="79">
        <v>26.3</v>
      </c>
      <c r="C298" s="1">
        <v>3337</v>
      </c>
      <c r="D298" s="1">
        <v>220</v>
      </c>
      <c r="E298" s="1">
        <f t="shared" si="4"/>
        <v>220</v>
      </c>
      <c r="F298" s="2" t="s">
        <v>485</v>
      </c>
      <c r="G298" s="2" t="s">
        <v>485</v>
      </c>
      <c r="H298" s="2" t="s">
        <v>485</v>
      </c>
      <c r="I298" s="1">
        <v>110</v>
      </c>
      <c r="J298" s="1">
        <v>110</v>
      </c>
      <c r="K298" s="2" t="s">
        <v>485</v>
      </c>
      <c r="L298" s="2" t="s">
        <v>485</v>
      </c>
      <c r="M298" s="2" t="s">
        <v>485</v>
      </c>
      <c r="N298" s="1">
        <v>5.9</v>
      </c>
      <c r="O298" s="1">
        <v>6</v>
      </c>
      <c r="P298" s="1">
        <f t="shared" si="5"/>
        <v>3</v>
      </c>
      <c r="Q298" s="1">
        <v>9.1999999999999993</v>
      </c>
      <c r="R298" s="1">
        <v>9</v>
      </c>
      <c r="S298" s="1" t="s">
        <v>485</v>
      </c>
      <c r="T298" s="1" t="s">
        <v>485</v>
      </c>
      <c r="U298" s="2" t="s">
        <v>485</v>
      </c>
      <c r="V298" s="1">
        <v>21.2</v>
      </c>
      <c r="W298" s="1">
        <v>25</v>
      </c>
      <c r="X298" s="1">
        <v>15</v>
      </c>
      <c r="Y298" s="2" t="s">
        <v>485</v>
      </c>
      <c r="Z298" s="2" t="s">
        <v>485</v>
      </c>
      <c r="AA298" s="2" t="s">
        <v>485</v>
      </c>
      <c r="AB298" s="2" t="s">
        <v>485</v>
      </c>
      <c r="AC298" s="2" t="s">
        <v>485</v>
      </c>
      <c r="AD298" s="1">
        <v>6</v>
      </c>
      <c r="AE298" s="2" t="s">
        <v>485</v>
      </c>
      <c r="AF298" s="2" t="s">
        <v>485</v>
      </c>
      <c r="AG298" s="79">
        <v>30.1</v>
      </c>
      <c r="AH298" s="1"/>
      <c r="AI298" s="1"/>
      <c r="AJ298" s="1">
        <v>19.43</v>
      </c>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70">
        <f t="shared" si="0"/>
        <v>638.22476590302801</v>
      </c>
      <c r="BW298" s="1"/>
      <c r="BX298" s="70">
        <f t="shared" si="1"/>
        <v>748.22476590302801</v>
      </c>
      <c r="BY298" s="70">
        <f t="shared" si="2"/>
        <v>550</v>
      </c>
      <c r="BZ298" s="70">
        <f t="shared" si="3"/>
        <v>660</v>
      </c>
      <c r="CA298" s="1">
        <v>170</v>
      </c>
      <c r="CB298" s="1"/>
      <c r="CC298" s="1"/>
    </row>
    <row r="299" spans="1:81">
      <c r="A299" s="2" t="s">
        <v>1387</v>
      </c>
      <c r="B299" s="79">
        <v>30.8</v>
      </c>
      <c r="C299" s="1">
        <v>3912</v>
      </c>
      <c r="D299" s="1">
        <v>240</v>
      </c>
      <c r="E299" s="1">
        <f t="shared" si="4"/>
        <v>240</v>
      </c>
      <c r="F299" s="2" t="s">
        <v>485</v>
      </c>
      <c r="G299" s="2" t="s">
        <v>485</v>
      </c>
      <c r="H299" s="2" t="s">
        <v>485</v>
      </c>
      <c r="I299" s="1">
        <v>120</v>
      </c>
      <c r="J299" s="1">
        <v>120</v>
      </c>
      <c r="K299" s="2" t="s">
        <v>485</v>
      </c>
      <c r="L299" s="2" t="s">
        <v>485</v>
      </c>
      <c r="M299" s="2" t="s">
        <v>485</v>
      </c>
      <c r="N299" s="1">
        <v>6.2</v>
      </c>
      <c r="O299" s="1">
        <v>6</v>
      </c>
      <c r="P299" s="1">
        <f t="shared" si="5"/>
        <v>3</v>
      </c>
      <c r="Q299" s="1">
        <v>9.8000000000000007</v>
      </c>
      <c r="R299" s="1">
        <v>10</v>
      </c>
      <c r="S299" s="1" t="s">
        <v>485</v>
      </c>
      <c r="T299" s="1" t="s">
        <v>485</v>
      </c>
      <c r="U299" s="2" t="s">
        <v>485</v>
      </c>
      <c r="V299" s="1">
        <v>24.8</v>
      </c>
      <c r="W299" s="1">
        <v>25</v>
      </c>
      <c r="X299" s="1">
        <v>18.100000000000001</v>
      </c>
      <c r="Y299" s="2" t="s">
        <v>485</v>
      </c>
      <c r="Z299" s="2" t="s">
        <v>485</v>
      </c>
      <c r="AA299" s="2" t="s">
        <v>485</v>
      </c>
      <c r="AB299" s="2" t="s">
        <v>485</v>
      </c>
      <c r="AC299" s="2" t="s">
        <v>485</v>
      </c>
      <c r="AD299" s="1">
        <v>6.1</v>
      </c>
      <c r="AE299" s="2" t="s">
        <v>485</v>
      </c>
      <c r="AF299" s="2" t="s">
        <v>485</v>
      </c>
      <c r="AG299" s="79">
        <v>30.7</v>
      </c>
      <c r="AH299" s="1"/>
      <c r="AI299" s="1"/>
      <c r="AJ299" s="1">
        <v>27.72</v>
      </c>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70">
        <f t="shared" si="0"/>
        <v>727.69555921538756</v>
      </c>
      <c r="BW299" s="1"/>
      <c r="BX299" s="70">
        <f t="shared" si="1"/>
        <v>847.69555921538756</v>
      </c>
      <c r="BY299" s="70">
        <f t="shared" si="2"/>
        <v>600</v>
      </c>
      <c r="BZ299" s="70">
        <f t="shared" si="3"/>
        <v>720</v>
      </c>
      <c r="CA299" s="1">
        <v>190</v>
      </c>
      <c r="CB299" s="1"/>
      <c r="CC299" s="1"/>
    </row>
    <row r="300" spans="1:81">
      <c r="A300" s="2" t="s">
        <v>1388</v>
      </c>
      <c r="B300" s="79">
        <v>36.200000000000003</v>
      </c>
      <c r="C300" s="1">
        <v>4595</v>
      </c>
      <c r="D300" s="1">
        <v>270</v>
      </c>
      <c r="E300" s="1">
        <f t="shared" si="4"/>
        <v>270</v>
      </c>
      <c r="F300" s="2" t="s">
        <v>485</v>
      </c>
      <c r="G300" s="2" t="s">
        <v>485</v>
      </c>
      <c r="H300" s="2" t="s">
        <v>485</v>
      </c>
      <c r="I300" s="1">
        <v>135</v>
      </c>
      <c r="J300" s="1">
        <v>135</v>
      </c>
      <c r="K300" s="2" t="s">
        <v>485</v>
      </c>
      <c r="L300" s="2" t="s">
        <v>485</v>
      </c>
      <c r="M300" s="2" t="s">
        <v>485</v>
      </c>
      <c r="N300" s="1">
        <v>6.6</v>
      </c>
      <c r="O300" s="1">
        <v>6.5</v>
      </c>
      <c r="P300" s="1">
        <f t="shared" si="5"/>
        <v>3.25</v>
      </c>
      <c r="Q300" s="1">
        <v>10.199999999999999</v>
      </c>
      <c r="R300" s="1">
        <v>10</v>
      </c>
      <c r="S300" s="1" t="s">
        <v>485</v>
      </c>
      <c r="T300" s="1" t="s">
        <v>485</v>
      </c>
      <c r="U300" s="2" t="s">
        <v>485</v>
      </c>
      <c r="V300" s="1">
        <v>25.2</v>
      </c>
      <c r="W300" s="1">
        <v>30</v>
      </c>
      <c r="X300" s="1">
        <v>18.3</v>
      </c>
      <c r="Y300" s="2" t="s">
        <v>485</v>
      </c>
      <c r="Z300" s="2" t="s">
        <v>485</v>
      </c>
      <c r="AA300" s="2" t="s">
        <v>485</v>
      </c>
      <c r="AB300" s="2" t="s">
        <v>485</v>
      </c>
      <c r="AC300" s="2" t="s">
        <v>485</v>
      </c>
      <c r="AD300" s="1">
        <v>6.6</v>
      </c>
      <c r="AE300" s="2" t="s">
        <v>485</v>
      </c>
      <c r="AF300" s="2" t="s">
        <v>485</v>
      </c>
      <c r="AG300" s="79">
        <v>33.299999999999997</v>
      </c>
      <c r="AH300" s="1"/>
      <c r="AI300" s="1"/>
      <c r="AJ300" s="1">
        <v>38.92</v>
      </c>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70">
        <f t="shared" si="0"/>
        <v>784.29555921538758</v>
      </c>
      <c r="BW300" s="1"/>
      <c r="BX300" s="70">
        <f t="shared" si="1"/>
        <v>919.29555921538758</v>
      </c>
      <c r="BY300" s="70">
        <f t="shared" si="2"/>
        <v>675</v>
      </c>
      <c r="BZ300" s="70">
        <f t="shared" si="3"/>
        <v>810</v>
      </c>
      <c r="CA300" s="1">
        <v>210</v>
      </c>
      <c r="CB300" s="1"/>
      <c r="CC300" s="1"/>
    </row>
    <row r="301" spans="1:81">
      <c r="A301" s="2" t="s">
        <v>1389</v>
      </c>
      <c r="B301" s="79">
        <v>42.4</v>
      </c>
      <c r="C301" s="1">
        <v>5381</v>
      </c>
      <c r="D301" s="1">
        <v>300</v>
      </c>
      <c r="E301" s="1">
        <f t="shared" si="4"/>
        <v>300</v>
      </c>
      <c r="F301" s="2" t="s">
        <v>485</v>
      </c>
      <c r="G301" s="2" t="s">
        <v>485</v>
      </c>
      <c r="H301" s="2" t="s">
        <v>485</v>
      </c>
      <c r="I301" s="1">
        <v>150</v>
      </c>
      <c r="J301" s="1">
        <v>150</v>
      </c>
      <c r="K301" s="2" t="s">
        <v>485</v>
      </c>
      <c r="L301" s="2" t="s">
        <v>485</v>
      </c>
      <c r="M301" s="2" t="s">
        <v>485</v>
      </c>
      <c r="N301" s="1">
        <v>7.1</v>
      </c>
      <c r="O301" s="1">
        <v>7</v>
      </c>
      <c r="P301" s="1">
        <f t="shared" si="5"/>
        <v>3.5</v>
      </c>
      <c r="Q301" s="1">
        <v>10.7</v>
      </c>
      <c r="R301" s="1">
        <v>10.5</v>
      </c>
      <c r="S301" s="1" t="s">
        <v>485</v>
      </c>
      <c r="T301" s="1" t="s">
        <v>485</v>
      </c>
      <c r="U301" s="2" t="s">
        <v>485</v>
      </c>
      <c r="V301" s="1">
        <v>25.7</v>
      </c>
      <c r="W301" s="1">
        <v>30</v>
      </c>
      <c r="X301" s="1">
        <v>18.600000000000001</v>
      </c>
      <c r="Y301" s="2" t="s">
        <v>485</v>
      </c>
      <c r="Z301" s="2" t="s">
        <v>485</v>
      </c>
      <c r="AA301" s="2" t="s">
        <v>485</v>
      </c>
      <c r="AB301" s="2" t="s">
        <v>485</v>
      </c>
      <c r="AC301" s="2" t="s">
        <v>485</v>
      </c>
      <c r="AD301" s="1">
        <v>7</v>
      </c>
      <c r="AE301" s="2" t="s">
        <v>485</v>
      </c>
      <c r="AF301" s="2" t="s">
        <v>485</v>
      </c>
      <c r="AG301" s="79">
        <v>35</v>
      </c>
      <c r="AH301" s="1"/>
      <c r="AI301" s="1"/>
      <c r="AJ301" s="1">
        <v>57.9</v>
      </c>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70">
        <f t="shared" si="0"/>
        <v>861.92387774610552</v>
      </c>
      <c r="BW301" s="1"/>
      <c r="BX301" s="70">
        <f t="shared" si="1"/>
        <v>1011.9238777461055</v>
      </c>
      <c r="BY301" s="70">
        <f t="shared" si="2"/>
        <v>750</v>
      </c>
      <c r="BZ301" s="70">
        <f t="shared" si="3"/>
        <v>900</v>
      </c>
      <c r="CA301" s="1">
        <v>240</v>
      </c>
      <c r="CB301" s="1"/>
      <c r="CC301" s="1"/>
    </row>
    <row r="302" spans="1:81">
      <c r="A302" s="2" t="s">
        <v>1390</v>
      </c>
      <c r="B302" s="79">
        <v>49.3</v>
      </c>
      <c r="C302" s="1">
        <v>6261</v>
      </c>
      <c r="D302" s="1">
        <v>330</v>
      </c>
      <c r="E302" s="1">
        <f t="shared" si="4"/>
        <v>330</v>
      </c>
      <c r="F302" s="2" t="s">
        <v>485</v>
      </c>
      <c r="G302" s="2" t="s">
        <v>485</v>
      </c>
      <c r="H302" s="2" t="s">
        <v>485</v>
      </c>
      <c r="I302" s="1">
        <v>160</v>
      </c>
      <c r="J302" s="1">
        <v>160</v>
      </c>
      <c r="K302" s="2" t="s">
        <v>485</v>
      </c>
      <c r="L302" s="2" t="s">
        <v>485</v>
      </c>
      <c r="M302" s="2" t="s">
        <v>485</v>
      </c>
      <c r="N302" s="1">
        <v>7.5</v>
      </c>
      <c r="O302" s="1">
        <v>7.5</v>
      </c>
      <c r="P302" s="1">
        <f t="shared" si="5"/>
        <v>3.75</v>
      </c>
      <c r="Q302" s="1">
        <v>11.5</v>
      </c>
      <c r="R302" s="1">
        <v>11.5</v>
      </c>
      <c r="S302" s="1" t="s">
        <v>485</v>
      </c>
      <c r="T302" s="1" t="s">
        <v>485</v>
      </c>
      <c r="U302" s="2" t="s">
        <v>485</v>
      </c>
      <c r="V302" s="1">
        <v>29.5</v>
      </c>
      <c r="W302" s="1">
        <v>30</v>
      </c>
      <c r="X302" s="1">
        <v>21.8</v>
      </c>
      <c r="Y302" s="2" t="s">
        <v>485</v>
      </c>
      <c r="Z302" s="2" t="s">
        <v>485</v>
      </c>
      <c r="AA302" s="2" t="s">
        <v>485</v>
      </c>
      <c r="AB302" s="2" t="s">
        <v>485</v>
      </c>
      <c r="AC302" s="2" t="s">
        <v>485</v>
      </c>
      <c r="AD302" s="1">
        <v>7</v>
      </c>
      <c r="AE302" s="2" t="s">
        <v>485</v>
      </c>
      <c r="AF302" s="2" t="s">
        <v>485</v>
      </c>
      <c r="AG302" s="79">
        <v>36.1</v>
      </c>
      <c r="AH302" s="1"/>
      <c r="AI302" s="1"/>
      <c r="AJ302" s="1">
        <v>83.56</v>
      </c>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70">
        <f t="shared" si="0"/>
        <v>972.82298958918307</v>
      </c>
      <c r="BW302" s="1"/>
      <c r="BX302" s="70">
        <f t="shared" si="1"/>
        <v>1132.8229895891832</v>
      </c>
      <c r="BY302" s="70">
        <f t="shared" si="2"/>
        <v>820</v>
      </c>
      <c r="BZ302" s="70">
        <f t="shared" si="3"/>
        <v>980</v>
      </c>
      <c r="CA302" s="1">
        <v>270</v>
      </c>
      <c r="CB302" s="1"/>
      <c r="CC302" s="1"/>
    </row>
    <row r="303" spans="1:81">
      <c r="A303" s="2" t="s">
        <v>1391</v>
      </c>
      <c r="B303" s="79">
        <v>57.3</v>
      </c>
      <c r="C303" s="1">
        <v>7273</v>
      </c>
      <c r="D303" s="1">
        <v>360</v>
      </c>
      <c r="E303" s="1">
        <f t="shared" si="4"/>
        <v>360</v>
      </c>
      <c r="F303" s="2" t="s">
        <v>485</v>
      </c>
      <c r="G303" s="2" t="s">
        <v>485</v>
      </c>
      <c r="H303" s="2" t="s">
        <v>485</v>
      </c>
      <c r="I303" s="1">
        <v>170</v>
      </c>
      <c r="J303" s="1">
        <v>170</v>
      </c>
      <c r="K303" s="2" t="s">
        <v>485</v>
      </c>
      <c r="L303" s="2" t="s">
        <v>485</v>
      </c>
      <c r="M303" s="2" t="s">
        <v>485</v>
      </c>
      <c r="N303" s="1">
        <v>8</v>
      </c>
      <c r="O303" s="1">
        <v>8</v>
      </c>
      <c r="P303" s="1">
        <f t="shared" si="5"/>
        <v>4</v>
      </c>
      <c r="Q303" s="1">
        <v>12.7</v>
      </c>
      <c r="R303" s="1">
        <v>12</v>
      </c>
      <c r="S303" s="1" t="s">
        <v>485</v>
      </c>
      <c r="T303" s="1" t="s">
        <v>485</v>
      </c>
      <c r="U303" s="2" t="s">
        <v>485</v>
      </c>
      <c r="V303" s="1">
        <v>30.7</v>
      </c>
      <c r="W303" s="1">
        <v>35</v>
      </c>
      <c r="X303" s="1">
        <v>22</v>
      </c>
      <c r="Y303" s="2" t="s">
        <v>485</v>
      </c>
      <c r="Z303" s="2" t="s">
        <v>485</v>
      </c>
      <c r="AA303" s="2" t="s">
        <v>485</v>
      </c>
      <c r="AB303" s="2" t="s">
        <v>485</v>
      </c>
      <c r="AC303" s="2" t="s">
        <v>485</v>
      </c>
      <c r="AD303" s="1">
        <v>6.7</v>
      </c>
      <c r="AE303" s="2" t="s">
        <v>485</v>
      </c>
      <c r="AF303" s="2" t="s">
        <v>485</v>
      </c>
      <c r="AG303" s="79">
        <v>37.299999999999997</v>
      </c>
      <c r="AH303" s="1"/>
      <c r="AI303" s="1"/>
      <c r="AJ303" s="1">
        <v>482</v>
      </c>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70">
        <f t="shared" si="0"/>
        <v>1026.994671058465</v>
      </c>
      <c r="BW303" s="1"/>
      <c r="BX303" s="70">
        <f t="shared" si="1"/>
        <v>1196.994671058465</v>
      </c>
      <c r="BY303" s="70">
        <f t="shared" si="2"/>
        <v>890</v>
      </c>
      <c r="BZ303" s="70">
        <f t="shared" si="3"/>
        <v>1060</v>
      </c>
      <c r="CA303" s="1">
        <v>290</v>
      </c>
      <c r="CB303" s="1"/>
      <c r="CC303" s="1"/>
    </row>
    <row r="304" spans="1:81">
      <c r="A304" s="2" t="s">
        <v>1392</v>
      </c>
      <c r="B304" s="79">
        <v>66.5</v>
      </c>
      <c r="C304" s="1">
        <v>8446</v>
      </c>
      <c r="D304" s="1">
        <v>400</v>
      </c>
      <c r="E304" s="1">
        <f t="shared" si="4"/>
        <v>400</v>
      </c>
      <c r="F304" s="2" t="s">
        <v>485</v>
      </c>
      <c r="G304" s="2" t="s">
        <v>485</v>
      </c>
      <c r="H304" s="2" t="s">
        <v>485</v>
      </c>
      <c r="I304" s="1">
        <v>180</v>
      </c>
      <c r="J304" s="1">
        <v>180</v>
      </c>
      <c r="K304" s="2" t="s">
        <v>485</v>
      </c>
      <c r="L304" s="2" t="s">
        <v>485</v>
      </c>
      <c r="M304" s="2" t="s">
        <v>485</v>
      </c>
      <c r="N304" s="1">
        <v>8.6</v>
      </c>
      <c r="O304" s="1">
        <v>8.5</v>
      </c>
      <c r="P304" s="1">
        <f t="shared" si="5"/>
        <v>4.25</v>
      </c>
      <c r="Q304" s="1">
        <v>13.5</v>
      </c>
      <c r="R304" s="1">
        <v>13.5</v>
      </c>
      <c r="S304" s="1" t="s">
        <v>485</v>
      </c>
      <c r="T304" s="1" t="s">
        <v>485</v>
      </c>
      <c r="U304" s="2" t="s">
        <v>485</v>
      </c>
      <c r="V304" s="1">
        <v>34.5</v>
      </c>
      <c r="W304" s="1">
        <v>35</v>
      </c>
      <c r="X304" s="1">
        <v>25.3</v>
      </c>
      <c r="Y304" s="2" t="s">
        <v>485</v>
      </c>
      <c r="Z304" s="2" t="s">
        <v>485</v>
      </c>
      <c r="AA304" s="2" t="s">
        <v>485</v>
      </c>
      <c r="AB304" s="2" t="s">
        <v>485</v>
      </c>
      <c r="AC304" s="2" t="s">
        <v>485</v>
      </c>
      <c r="AD304" s="1">
        <v>6.7</v>
      </c>
      <c r="AE304" s="2" t="s">
        <v>485</v>
      </c>
      <c r="AF304" s="2" t="s">
        <v>485</v>
      </c>
      <c r="AG304" s="79">
        <v>38.5</v>
      </c>
      <c r="AH304" s="1"/>
      <c r="AI304" s="1"/>
      <c r="AJ304" s="1">
        <v>671.2</v>
      </c>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70">
        <f t="shared" si="0"/>
        <v>1157.8937829015426</v>
      </c>
      <c r="BW304" s="1"/>
      <c r="BX304" s="70">
        <f t="shared" si="1"/>
        <v>1337.8937829015426</v>
      </c>
      <c r="BY304" s="70">
        <f t="shared" si="2"/>
        <v>980</v>
      </c>
      <c r="BZ304" s="70">
        <f t="shared" si="3"/>
        <v>1160</v>
      </c>
      <c r="CA304" s="1">
        <v>330</v>
      </c>
      <c r="CB304" s="1"/>
      <c r="CC304" s="1"/>
    </row>
    <row r="305" spans="1:81">
      <c r="A305" s="2" t="s">
        <v>1393</v>
      </c>
      <c r="B305" s="79">
        <v>77.8</v>
      </c>
      <c r="C305" s="1">
        <v>9882</v>
      </c>
      <c r="D305" s="1">
        <v>450</v>
      </c>
      <c r="E305" s="1">
        <f t="shared" si="4"/>
        <v>450</v>
      </c>
      <c r="F305" s="2" t="s">
        <v>485</v>
      </c>
      <c r="G305" s="2" t="s">
        <v>485</v>
      </c>
      <c r="H305" s="2" t="s">
        <v>485</v>
      </c>
      <c r="I305" s="1">
        <v>190</v>
      </c>
      <c r="J305" s="1">
        <v>190</v>
      </c>
      <c r="K305" s="2" t="s">
        <v>485</v>
      </c>
      <c r="L305" s="2" t="s">
        <v>485</v>
      </c>
      <c r="M305" s="2" t="s">
        <v>485</v>
      </c>
      <c r="N305" s="1">
        <v>9.4</v>
      </c>
      <c r="O305" s="1">
        <v>9.5</v>
      </c>
      <c r="P305" s="1">
        <f t="shared" si="5"/>
        <v>4.75</v>
      </c>
      <c r="Q305" s="1">
        <v>14.6</v>
      </c>
      <c r="R305" s="1">
        <v>14.5</v>
      </c>
      <c r="S305" s="1" t="s">
        <v>485</v>
      </c>
      <c r="T305" s="1" t="s">
        <v>485</v>
      </c>
      <c r="U305" s="2" t="s">
        <v>485</v>
      </c>
      <c r="V305" s="1">
        <v>35.6</v>
      </c>
      <c r="W305" s="1">
        <v>40</v>
      </c>
      <c r="X305" s="1">
        <v>25.7</v>
      </c>
      <c r="Y305" s="2" t="s">
        <v>485</v>
      </c>
      <c r="Z305" s="2" t="s">
        <v>485</v>
      </c>
      <c r="AA305" s="2" t="s">
        <v>485</v>
      </c>
      <c r="AB305" s="2" t="s">
        <v>485</v>
      </c>
      <c r="AC305" s="2" t="s">
        <v>485</v>
      </c>
      <c r="AD305" s="1">
        <v>6.5</v>
      </c>
      <c r="AE305" s="2" t="s">
        <v>485</v>
      </c>
      <c r="AF305" s="2" t="s">
        <v>485</v>
      </c>
      <c r="AG305" s="79">
        <v>40.299999999999997</v>
      </c>
      <c r="AH305" s="1"/>
      <c r="AI305" s="1"/>
      <c r="AJ305" s="1">
        <v>920.8</v>
      </c>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70">
        <f t="shared" si="0"/>
        <v>1252.2937829015427</v>
      </c>
      <c r="BW305" s="1"/>
      <c r="BX305" s="70">
        <f t="shared" si="1"/>
        <v>1442.2937829015427</v>
      </c>
      <c r="BY305" s="70">
        <f t="shared" si="2"/>
        <v>1090</v>
      </c>
      <c r="BZ305" s="70">
        <f t="shared" si="3"/>
        <v>1280</v>
      </c>
      <c r="CA305" s="1">
        <v>370</v>
      </c>
      <c r="CB305" s="1"/>
      <c r="CC305" s="1"/>
    </row>
    <row r="306" spans="1:81">
      <c r="A306" s="2" t="s">
        <v>1394</v>
      </c>
      <c r="B306" s="79">
        <v>91</v>
      </c>
      <c r="C306" s="1">
        <v>11552</v>
      </c>
      <c r="D306" s="1">
        <v>500</v>
      </c>
      <c r="E306" s="1">
        <f t="shared" si="4"/>
        <v>500</v>
      </c>
      <c r="F306" s="2" t="s">
        <v>485</v>
      </c>
      <c r="G306" s="2" t="s">
        <v>485</v>
      </c>
      <c r="H306" s="2" t="s">
        <v>485</v>
      </c>
      <c r="I306" s="1">
        <v>200</v>
      </c>
      <c r="J306" s="1">
        <v>200</v>
      </c>
      <c r="K306" s="2" t="s">
        <v>485</v>
      </c>
      <c r="L306" s="2" t="s">
        <v>485</v>
      </c>
      <c r="M306" s="2" t="s">
        <v>485</v>
      </c>
      <c r="N306" s="1">
        <v>10.199999999999999</v>
      </c>
      <c r="O306" s="1">
        <v>10</v>
      </c>
      <c r="P306" s="1">
        <f t="shared" si="5"/>
        <v>5</v>
      </c>
      <c r="Q306" s="1">
        <v>16</v>
      </c>
      <c r="R306" s="1">
        <v>16</v>
      </c>
      <c r="S306" s="1" t="s">
        <v>485</v>
      </c>
      <c r="T306" s="1" t="s">
        <v>485</v>
      </c>
      <c r="U306" s="2" t="s">
        <v>485</v>
      </c>
      <c r="V306" s="1">
        <v>37</v>
      </c>
      <c r="W306" s="1">
        <v>40</v>
      </c>
      <c r="X306" s="1">
        <v>26.1</v>
      </c>
      <c r="Y306" s="2" t="s">
        <v>485</v>
      </c>
      <c r="Z306" s="2" t="s">
        <v>485</v>
      </c>
      <c r="AA306" s="2" t="s">
        <v>485</v>
      </c>
      <c r="AB306" s="2" t="s">
        <v>485</v>
      </c>
      <c r="AC306" s="2" t="s">
        <v>485</v>
      </c>
      <c r="AD306" s="1">
        <v>6.3</v>
      </c>
      <c r="AE306" s="2" t="s">
        <v>485</v>
      </c>
      <c r="AF306" s="2" t="s">
        <v>485</v>
      </c>
      <c r="AG306" s="79">
        <v>41.8</v>
      </c>
      <c r="AH306" s="1"/>
      <c r="AI306" s="1"/>
      <c r="AJ306" s="1">
        <v>3.492</v>
      </c>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70">
        <f t="shared" si="0"/>
        <v>1367.8937829015426</v>
      </c>
      <c r="BW306" s="1"/>
      <c r="BX306" s="70">
        <f t="shared" si="1"/>
        <v>1567.8937829015426</v>
      </c>
      <c r="BY306" s="70">
        <f t="shared" si="2"/>
        <v>1200</v>
      </c>
      <c r="BZ306" s="70">
        <f t="shared" si="3"/>
        <v>1400</v>
      </c>
      <c r="CA306" s="1">
        <v>420</v>
      </c>
      <c r="CB306" s="1"/>
      <c r="CC306" s="1"/>
    </row>
    <row r="307" spans="1:81">
      <c r="A307" s="2" t="s">
        <v>1395</v>
      </c>
      <c r="B307" s="79">
        <v>105.8</v>
      </c>
      <c r="C307" s="1">
        <v>13442</v>
      </c>
      <c r="D307" s="1">
        <v>550</v>
      </c>
      <c r="E307" s="1">
        <f t="shared" si="4"/>
        <v>550</v>
      </c>
      <c r="F307" s="2" t="s">
        <v>485</v>
      </c>
      <c r="G307" s="2" t="s">
        <v>485</v>
      </c>
      <c r="H307" s="2" t="s">
        <v>485</v>
      </c>
      <c r="I307" s="1">
        <v>210</v>
      </c>
      <c r="J307" s="1">
        <v>210</v>
      </c>
      <c r="K307" s="2" t="s">
        <v>485</v>
      </c>
      <c r="L307" s="2" t="s">
        <v>485</v>
      </c>
      <c r="M307" s="2" t="s">
        <v>485</v>
      </c>
      <c r="N307" s="1">
        <v>11.1</v>
      </c>
      <c r="O307" s="1">
        <v>11</v>
      </c>
      <c r="P307" s="1">
        <f t="shared" si="5"/>
        <v>5.5</v>
      </c>
      <c r="Q307" s="1">
        <v>17.2</v>
      </c>
      <c r="R307" s="1">
        <v>17</v>
      </c>
      <c r="S307" s="1" t="s">
        <v>485</v>
      </c>
      <c r="T307" s="1" t="s">
        <v>485</v>
      </c>
      <c r="U307" s="2" t="s">
        <v>485</v>
      </c>
      <c r="V307" s="1">
        <v>41.2</v>
      </c>
      <c r="W307" s="1">
        <v>45</v>
      </c>
      <c r="X307" s="1">
        <v>29.6</v>
      </c>
      <c r="Y307" s="2" t="s">
        <v>485</v>
      </c>
      <c r="Z307" s="2" t="s">
        <v>485</v>
      </c>
      <c r="AA307" s="2" t="s">
        <v>485</v>
      </c>
      <c r="AB307" s="2" t="s">
        <v>485</v>
      </c>
      <c r="AC307" s="2" t="s">
        <v>485</v>
      </c>
      <c r="AD307" s="1">
        <v>6.1</v>
      </c>
      <c r="AE307" s="2" t="s">
        <v>485</v>
      </c>
      <c r="AF307" s="2" t="s">
        <v>485</v>
      </c>
      <c r="AG307" s="79">
        <v>42.1</v>
      </c>
      <c r="AH307" s="1"/>
      <c r="AI307" s="1"/>
      <c r="AJ307" s="1">
        <v>6.06</v>
      </c>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70">
        <f t="shared" si="0"/>
        <v>1501.0212132753381</v>
      </c>
      <c r="BW307" s="1"/>
      <c r="BX307" s="70">
        <f t="shared" si="1"/>
        <v>1711.0212132753381</v>
      </c>
      <c r="BY307" s="70">
        <f t="shared" si="2"/>
        <v>1310</v>
      </c>
      <c r="BZ307" s="70">
        <f t="shared" si="3"/>
        <v>1520</v>
      </c>
      <c r="CA307" s="1">
        <v>460</v>
      </c>
      <c r="CB307" s="1"/>
      <c r="CC307" s="1"/>
    </row>
    <row r="308" spans="1:81">
      <c r="A308" s="2" t="s">
        <v>1396</v>
      </c>
      <c r="B308" s="79">
        <v>122.8</v>
      </c>
      <c r="C308" s="1">
        <v>15598</v>
      </c>
      <c r="D308" s="1">
        <v>600</v>
      </c>
      <c r="E308" s="1">
        <f>D308</f>
        <v>600</v>
      </c>
      <c r="F308" s="71" t="s">
        <v>485</v>
      </c>
      <c r="G308" s="71" t="s">
        <v>485</v>
      </c>
      <c r="H308" s="71" t="s">
        <v>485</v>
      </c>
      <c r="I308" s="72">
        <v>220</v>
      </c>
      <c r="J308" s="1">
        <v>220</v>
      </c>
      <c r="K308" s="2" t="s">
        <v>485</v>
      </c>
      <c r="L308" s="2" t="s">
        <v>485</v>
      </c>
      <c r="M308" s="2" t="s">
        <v>485</v>
      </c>
      <c r="N308" s="1">
        <v>12</v>
      </c>
      <c r="O308" s="1">
        <v>12</v>
      </c>
      <c r="P308" s="1">
        <f t="shared" si="5"/>
        <v>6</v>
      </c>
      <c r="Q308" s="1">
        <v>19</v>
      </c>
      <c r="R308" s="1">
        <v>19</v>
      </c>
      <c r="S308" s="1" t="s">
        <v>485</v>
      </c>
      <c r="T308" s="1" t="s">
        <v>485</v>
      </c>
      <c r="U308" s="2" t="s">
        <v>485</v>
      </c>
      <c r="V308" s="1">
        <v>43</v>
      </c>
      <c r="W308" s="1">
        <v>45</v>
      </c>
      <c r="X308" s="1">
        <v>30</v>
      </c>
      <c r="Y308" s="2" t="s">
        <v>485</v>
      </c>
      <c r="Z308" s="2" t="s">
        <v>485</v>
      </c>
      <c r="AA308" s="2" t="s">
        <v>485</v>
      </c>
      <c r="AB308" s="2" t="s">
        <v>485</v>
      </c>
      <c r="AC308" s="71" t="s">
        <v>485</v>
      </c>
      <c r="AD308" s="72">
        <v>5.8</v>
      </c>
      <c r="AE308" s="71" t="s">
        <v>485</v>
      </c>
      <c r="AF308" s="2" t="s">
        <v>485</v>
      </c>
      <c r="AG308" s="79">
        <v>42.8</v>
      </c>
      <c r="AH308" s="1"/>
      <c r="AI308" s="1"/>
      <c r="AJ308" s="1">
        <v>10.3</v>
      </c>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70">
        <f t="shared" si="0"/>
        <v>1617.59289474462</v>
      </c>
      <c r="BW308" s="1"/>
      <c r="BX308" s="70">
        <f t="shared" si="1"/>
        <v>1837.59289474462</v>
      </c>
      <c r="BY308" s="70">
        <f t="shared" si="2"/>
        <v>1420</v>
      </c>
      <c r="BZ308" s="70">
        <f t="shared" si="3"/>
        <v>1640</v>
      </c>
      <c r="CA308" s="1">
        <v>510</v>
      </c>
      <c r="CB308" s="1"/>
      <c r="CC308" s="1"/>
    </row>
    <row r="309" spans="1:81">
      <c r="A309" s="1" t="s">
        <v>1397</v>
      </c>
      <c r="B309" s="1">
        <v>16.7</v>
      </c>
      <c r="C309" s="1">
        <v>2124</v>
      </c>
      <c r="D309" s="1">
        <v>96</v>
      </c>
      <c r="E309" s="1">
        <f t="shared" ref="E309:E320" si="6">D309</f>
        <v>96</v>
      </c>
      <c r="F309" s="2" t="s">
        <v>485</v>
      </c>
      <c r="G309" s="2" t="s">
        <v>485</v>
      </c>
      <c r="H309" s="2" t="s">
        <v>485</v>
      </c>
      <c r="I309" s="1">
        <v>100</v>
      </c>
      <c r="J309" s="1">
        <f>I309</f>
        <v>100</v>
      </c>
      <c r="K309" s="2" t="s">
        <v>485</v>
      </c>
      <c r="L309" s="2" t="s">
        <v>485</v>
      </c>
      <c r="M309" s="2" t="s">
        <v>485</v>
      </c>
      <c r="N309" s="1">
        <v>5</v>
      </c>
      <c r="O309" s="1">
        <f>N309</f>
        <v>5</v>
      </c>
      <c r="P309" s="1">
        <f t="shared" si="5"/>
        <v>2.5</v>
      </c>
      <c r="Q309" s="1">
        <v>8</v>
      </c>
      <c r="R309" s="1">
        <v>19</v>
      </c>
      <c r="S309" s="1" t="s">
        <v>485</v>
      </c>
      <c r="T309" s="1" t="s">
        <v>485</v>
      </c>
      <c r="U309" s="2" t="s">
        <v>485</v>
      </c>
      <c r="V309" s="1">
        <v>20</v>
      </c>
      <c r="W309" s="1">
        <v>20</v>
      </c>
      <c r="X309" s="1">
        <v>14.5</v>
      </c>
      <c r="Y309" s="2" t="s">
        <v>485</v>
      </c>
      <c r="Z309" s="2" t="s">
        <v>485</v>
      </c>
      <c r="AA309" s="2" t="s">
        <v>485</v>
      </c>
      <c r="AB309" s="2" t="s">
        <v>485</v>
      </c>
      <c r="AC309" s="2" t="s">
        <v>485</v>
      </c>
      <c r="AD309" s="80">
        <f>I309*0.5/Q309</f>
        <v>6.25</v>
      </c>
      <c r="AE309" s="2" t="s">
        <v>485</v>
      </c>
      <c r="AF309" s="2" t="s">
        <v>485</v>
      </c>
      <c r="AG309" s="79">
        <f>CA309/N309</f>
        <v>11.2</v>
      </c>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70">
        <f t="shared" ref="BV309:BV323" si="7">I309+4*Q309+4*CB309+4*PI()*(X309-0.5*N309)+2*CA309</f>
        <v>394.79644737231007</v>
      </c>
      <c r="BW309" s="1"/>
      <c r="BX309" s="70">
        <f t="shared" ref="BX309:BX323" si="8">2*I309+4*Q309+4*CB309+4*PI()*(X309-0.5*N309)+2*CA309</f>
        <v>494.79644737231007</v>
      </c>
      <c r="BY309" s="70">
        <f t="shared" si="2"/>
        <v>292</v>
      </c>
      <c r="BZ309" s="70">
        <f t="shared" si="3"/>
        <v>392</v>
      </c>
      <c r="CA309" s="1">
        <v>56</v>
      </c>
      <c r="CB309" s="1"/>
      <c r="CC309" s="1"/>
    </row>
    <row r="310" spans="1:81">
      <c r="A310" s="1" t="s">
        <v>1397</v>
      </c>
      <c r="B310" s="1">
        <v>19.899999999999999</v>
      </c>
      <c r="C310" s="1">
        <v>2534</v>
      </c>
      <c r="D310" s="1">
        <v>114</v>
      </c>
      <c r="E310" s="1">
        <f t="shared" si="6"/>
        <v>114</v>
      </c>
      <c r="F310" s="2" t="s">
        <v>485</v>
      </c>
      <c r="G310" s="2" t="s">
        <v>485</v>
      </c>
      <c r="H310" s="2" t="s">
        <v>485</v>
      </c>
      <c r="I310" s="1">
        <v>100</v>
      </c>
      <c r="J310" s="1">
        <f t="shared" ref="J310:J320" si="9">I310</f>
        <v>100</v>
      </c>
      <c r="K310" s="2" t="s">
        <v>485</v>
      </c>
      <c r="L310" s="2" t="s">
        <v>485</v>
      </c>
      <c r="M310" s="2" t="s">
        <v>485</v>
      </c>
      <c r="N310" s="1">
        <v>6</v>
      </c>
      <c r="O310" s="1">
        <f t="shared" ref="O310:O320" si="10">N310</f>
        <v>6</v>
      </c>
      <c r="P310" s="1">
        <f t="shared" si="5"/>
        <v>3</v>
      </c>
      <c r="Q310" s="1">
        <v>10</v>
      </c>
      <c r="R310" s="1">
        <v>19</v>
      </c>
      <c r="S310" s="1" t="s">
        <v>485</v>
      </c>
      <c r="T310" s="1" t="s">
        <v>485</v>
      </c>
      <c r="U310" s="2" t="s">
        <v>485</v>
      </c>
      <c r="V310" s="1">
        <v>22</v>
      </c>
      <c r="W310" s="1">
        <v>25</v>
      </c>
      <c r="X310" s="1">
        <v>15</v>
      </c>
      <c r="Y310" s="2" t="s">
        <v>485</v>
      </c>
      <c r="Z310" s="2" t="s">
        <v>485</v>
      </c>
      <c r="AA310" s="2" t="s">
        <v>485</v>
      </c>
      <c r="AB310" s="2" t="s">
        <v>485</v>
      </c>
      <c r="AC310" s="2" t="s">
        <v>485</v>
      </c>
      <c r="AD310" s="80">
        <f t="shared" ref="AD310:AD320" si="11">I310*0.5/Q310</f>
        <v>5</v>
      </c>
      <c r="AE310" s="2" t="s">
        <v>485</v>
      </c>
      <c r="AF310" s="2" t="s">
        <v>485</v>
      </c>
      <c r="AG310" s="80">
        <v>9.3000000000000007</v>
      </c>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70">
        <f t="shared" si="7"/>
        <v>390.79644737231007</v>
      </c>
      <c r="BW310" s="1"/>
      <c r="BX310" s="70">
        <f t="shared" si="8"/>
        <v>490.79644737231007</v>
      </c>
      <c r="BY310" s="70">
        <f t="shared" si="2"/>
        <v>328</v>
      </c>
      <c r="BZ310" s="70">
        <f t="shared" si="3"/>
        <v>428</v>
      </c>
      <c r="CA310" s="1">
        <v>50</v>
      </c>
      <c r="CB310" s="1"/>
      <c r="CC310" s="1"/>
    </row>
    <row r="311" spans="1:81">
      <c r="A311" s="1" t="s">
        <v>1398</v>
      </c>
      <c r="B311" s="73">
        <v>24.7</v>
      </c>
      <c r="C311" s="1">
        <v>3142</v>
      </c>
      <c r="D311" s="1">
        <v>133</v>
      </c>
      <c r="E311" s="1">
        <f t="shared" si="6"/>
        <v>133</v>
      </c>
      <c r="F311" s="2" t="s">
        <v>485</v>
      </c>
      <c r="G311" s="2" t="s">
        <v>485</v>
      </c>
      <c r="H311" s="2" t="s">
        <v>485</v>
      </c>
      <c r="I311" s="1">
        <v>120</v>
      </c>
      <c r="J311" s="1">
        <f t="shared" si="9"/>
        <v>120</v>
      </c>
      <c r="K311" s="2" t="s">
        <v>485</v>
      </c>
      <c r="L311" s="2" t="s">
        <v>485</v>
      </c>
      <c r="M311" s="2" t="s">
        <v>485</v>
      </c>
      <c r="N311" s="1">
        <v>5</v>
      </c>
      <c r="O311" s="1">
        <f t="shared" si="10"/>
        <v>5</v>
      </c>
      <c r="P311" s="1">
        <f t="shared" si="5"/>
        <v>2.5</v>
      </c>
      <c r="Q311" s="1">
        <v>8</v>
      </c>
      <c r="R311" s="1">
        <v>19</v>
      </c>
      <c r="S311" s="1" t="s">
        <v>485</v>
      </c>
      <c r="T311" s="1" t="s">
        <v>485</v>
      </c>
      <c r="U311" s="2" t="s">
        <v>485</v>
      </c>
      <c r="V311" s="1">
        <v>20</v>
      </c>
      <c r="W311" s="1">
        <v>20</v>
      </c>
      <c r="X311" s="1">
        <v>14.5</v>
      </c>
      <c r="Y311" s="2" t="s">
        <v>485</v>
      </c>
      <c r="Z311" s="2" t="s">
        <v>485</v>
      </c>
      <c r="AA311" s="2" t="s">
        <v>485</v>
      </c>
      <c r="AB311" s="2" t="s">
        <v>485</v>
      </c>
      <c r="AC311" s="2" t="s">
        <v>485</v>
      </c>
      <c r="AD311" s="80">
        <f t="shared" si="11"/>
        <v>7.5</v>
      </c>
      <c r="AE311" s="2" t="s">
        <v>485</v>
      </c>
      <c r="AF311" s="2" t="s">
        <v>485</v>
      </c>
      <c r="AG311" s="80">
        <v>14.8</v>
      </c>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70">
        <f t="shared" si="7"/>
        <v>450.79644737231007</v>
      </c>
      <c r="BW311" s="1"/>
      <c r="BX311" s="70">
        <f t="shared" si="8"/>
        <v>570.79644737231001</v>
      </c>
      <c r="BY311" s="70">
        <f t="shared" si="2"/>
        <v>386</v>
      </c>
      <c r="BZ311" s="70">
        <f t="shared" si="3"/>
        <v>506</v>
      </c>
      <c r="CA311" s="1">
        <v>74</v>
      </c>
      <c r="CB311" s="1"/>
      <c r="CC311" s="1"/>
    </row>
    <row r="312" spans="1:81">
      <c r="A312" s="1" t="s">
        <v>1399</v>
      </c>
      <c r="B312" s="73">
        <v>30.5</v>
      </c>
      <c r="C312" s="1">
        <v>3877</v>
      </c>
      <c r="D312" s="1">
        <v>152</v>
      </c>
      <c r="E312" s="1">
        <f t="shared" si="6"/>
        <v>152</v>
      </c>
      <c r="F312" s="2" t="s">
        <v>485</v>
      </c>
      <c r="G312" s="2" t="s">
        <v>485</v>
      </c>
      <c r="H312" s="2" t="s">
        <v>485</v>
      </c>
      <c r="I312" s="1">
        <v>120</v>
      </c>
      <c r="J312" s="1">
        <f t="shared" si="9"/>
        <v>120</v>
      </c>
      <c r="K312" s="2" t="s">
        <v>485</v>
      </c>
      <c r="L312" s="2" t="s">
        <v>485</v>
      </c>
      <c r="M312" s="2" t="s">
        <v>485</v>
      </c>
      <c r="N312" s="1">
        <v>6.5</v>
      </c>
      <c r="O312" s="1">
        <f t="shared" si="10"/>
        <v>6.5</v>
      </c>
      <c r="P312" s="1">
        <f t="shared" si="5"/>
        <v>3.25</v>
      </c>
      <c r="Q312" s="1">
        <v>11</v>
      </c>
      <c r="R312" s="1">
        <v>19</v>
      </c>
      <c r="S312" s="1" t="s">
        <v>485</v>
      </c>
      <c r="T312" s="1" t="s">
        <v>485</v>
      </c>
      <c r="U312" s="2" t="s">
        <v>485</v>
      </c>
      <c r="V312" s="1">
        <v>23</v>
      </c>
      <c r="W312" s="1">
        <v>25</v>
      </c>
      <c r="X312" s="1">
        <v>15.3</v>
      </c>
      <c r="Y312" s="2" t="s">
        <v>485</v>
      </c>
      <c r="Z312" s="2" t="s">
        <v>485</v>
      </c>
      <c r="AA312" s="2" t="s">
        <v>485</v>
      </c>
      <c r="AB312" s="2" t="s">
        <v>485</v>
      </c>
      <c r="AC312" s="2" t="s">
        <v>485</v>
      </c>
      <c r="AD312" s="80">
        <f t="shared" si="11"/>
        <v>5.4545454545454541</v>
      </c>
      <c r="AE312" s="2" t="s">
        <v>485</v>
      </c>
      <c r="AF312" s="2" t="s">
        <v>485</v>
      </c>
      <c r="AG312" s="80">
        <v>11.4</v>
      </c>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70">
        <f t="shared" si="7"/>
        <v>455.42476590302806</v>
      </c>
      <c r="BW312" s="1"/>
      <c r="BX312" s="70">
        <f t="shared" si="8"/>
        <v>575.42476590302806</v>
      </c>
      <c r="BY312" s="70">
        <f t="shared" si="2"/>
        <v>424</v>
      </c>
      <c r="BZ312" s="70">
        <f t="shared" si="3"/>
        <v>544</v>
      </c>
      <c r="CA312" s="1">
        <v>70</v>
      </c>
      <c r="CB312" s="1"/>
      <c r="CC312" s="1"/>
    </row>
    <row r="313" spans="1:81">
      <c r="A313" s="1" t="s">
        <v>1400</v>
      </c>
      <c r="B313" s="73">
        <v>35.6</v>
      </c>
      <c r="C313" s="1">
        <v>4525</v>
      </c>
      <c r="D313" s="1">
        <v>171</v>
      </c>
      <c r="E313" s="1">
        <f t="shared" si="6"/>
        <v>171</v>
      </c>
      <c r="F313" s="2" t="s">
        <v>485</v>
      </c>
      <c r="G313" s="2" t="s">
        <v>485</v>
      </c>
      <c r="H313" s="2" t="s">
        <v>485</v>
      </c>
      <c r="I313" s="1">
        <v>140</v>
      </c>
      <c r="J313" s="1">
        <f t="shared" si="9"/>
        <v>140</v>
      </c>
      <c r="K313" s="2" t="s">
        <v>485</v>
      </c>
      <c r="L313" s="2" t="s">
        <v>485</v>
      </c>
      <c r="M313" s="2" t="s">
        <v>485</v>
      </c>
      <c r="N313" s="1">
        <v>5.5</v>
      </c>
      <c r="O313" s="1">
        <f t="shared" si="10"/>
        <v>5.5</v>
      </c>
      <c r="P313" s="1">
        <f t="shared" si="5"/>
        <v>2.75</v>
      </c>
      <c r="Q313" s="1">
        <v>8.5</v>
      </c>
      <c r="R313" s="1">
        <v>19</v>
      </c>
      <c r="S313" s="1" t="s">
        <v>485</v>
      </c>
      <c r="T313" s="1" t="s">
        <v>485</v>
      </c>
      <c r="U313" s="2" t="s">
        <v>485</v>
      </c>
      <c r="V313" s="1">
        <v>20.5</v>
      </c>
      <c r="W313" s="1">
        <v>25</v>
      </c>
      <c r="X313" s="1">
        <v>14.8</v>
      </c>
      <c r="Y313" s="2" t="s">
        <v>485</v>
      </c>
      <c r="Z313" s="2" t="s">
        <v>485</v>
      </c>
      <c r="AA313" s="2" t="s">
        <v>485</v>
      </c>
      <c r="AB313" s="2" t="s">
        <v>485</v>
      </c>
      <c r="AC313" s="2" t="s">
        <v>485</v>
      </c>
      <c r="AD313" s="80">
        <f t="shared" si="11"/>
        <v>8.235294117647058</v>
      </c>
      <c r="AE313" s="2" t="s">
        <v>485</v>
      </c>
      <c r="AF313" s="2" t="s">
        <v>485</v>
      </c>
      <c r="AG313" s="80">
        <v>16.7</v>
      </c>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70">
        <f t="shared" si="7"/>
        <v>491.42476590302806</v>
      </c>
      <c r="BW313" s="1"/>
      <c r="BX313" s="70">
        <f t="shared" si="8"/>
        <v>631.42476590302806</v>
      </c>
      <c r="BY313" s="70">
        <f t="shared" si="2"/>
        <v>482</v>
      </c>
      <c r="BZ313" s="70">
        <f t="shared" si="3"/>
        <v>622</v>
      </c>
      <c r="CA313" s="1">
        <v>83</v>
      </c>
      <c r="CB313" s="1"/>
      <c r="CC313" s="1"/>
    </row>
    <row r="314" spans="1:81">
      <c r="A314" s="1" t="s">
        <v>1401</v>
      </c>
      <c r="B314" s="73">
        <v>42.4</v>
      </c>
      <c r="C314" s="1">
        <v>5383</v>
      </c>
      <c r="D314" s="1">
        <v>190</v>
      </c>
      <c r="E314" s="1">
        <f t="shared" si="6"/>
        <v>190</v>
      </c>
      <c r="F314" s="2" t="s">
        <v>485</v>
      </c>
      <c r="G314" s="2" t="s">
        <v>485</v>
      </c>
      <c r="H314" s="2" t="s">
        <v>485</v>
      </c>
      <c r="I314" s="1">
        <v>140</v>
      </c>
      <c r="J314" s="1">
        <f t="shared" si="9"/>
        <v>140</v>
      </c>
      <c r="K314" s="2" t="s">
        <v>485</v>
      </c>
      <c r="L314" s="2" t="s">
        <v>485</v>
      </c>
      <c r="M314" s="2" t="s">
        <v>485</v>
      </c>
      <c r="N314" s="1">
        <v>7</v>
      </c>
      <c r="O314" s="1">
        <f t="shared" si="10"/>
        <v>7</v>
      </c>
      <c r="P314" s="1">
        <f t="shared" si="5"/>
        <v>3.5</v>
      </c>
      <c r="Q314" s="1">
        <v>12</v>
      </c>
      <c r="R314" s="1">
        <v>19</v>
      </c>
      <c r="S314" s="1" t="s">
        <v>485</v>
      </c>
      <c r="T314" s="1" t="s">
        <v>485</v>
      </c>
      <c r="U314" s="2" t="s">
        <v>485</v>
      </c>
      <c r="V314" s="1">
        <v>24</v>
      </c>
      <c r="W314" s="1">
        <v>25</v>
      </c>
      <c r="X314" s="1">
        <v>15.5</v>
      </c>
      <c r="Y314" s="2" t="s">
        <v>485</v>
      </c>
      <c r="Z314" s="2" t="s">
        <v>485</v>
      </c>
      <c r="AA314" s="2" t="s">
        <v>485</v>
      </c>
      <c r="AB314" s="2" t="s">
        <v>485</v>
      </c>
      <c r="AC314" s="2" t="s">
        <v>485</v>
      </c>
      <c r="AD314" s="80">
        <f t="shared" si="11"/>
        <v>5.833333333333333</v>
      </c>
      <c r="AE314" s="2" t="s">
        <v>485</v>
      </c>
      <c r="AF314" s="2" t="s">
        <v>485</v>
      </c>
      <c r="AG314" s="80">
        <v>13.1</v>
      </c>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70">
        <f t="shared" si="7"/>
        <v>518.79644737231001</v>
      </c>
      <c r="BW314" s="1"/>
      <c r="BX314" s="70">
        <f t="shared" si="8"/>
        <v>658.79644737231001</v>
      </c>
      <c r="BY314" s="70">
        <f t="shared" si="2"/>
        <v>520</v>
      </c>
      <c r="BZ314" s="70">
        <f t="shared" si="3"/>
        <v>660</v>
      </c>
      <c r="CA314" s="1">
        <v>90</v>
      </c>
      <c r="CB314" s="1"/>
      <c r="CC314" s="1"/>
    </row>
    <row r="315" spans="1:81">
      <c r="A315" s="1" t="s">
        <v>1402</v>
      </c>
      <c r="B315" s="73">
        <v>20.5</v>
      </c>
      <c r="C315" s="1">
        <v>2604</v>
      </c>
      <c r="D315" s="1">
        <v>100</v>
      </c>
      <c r="E315" s="1">
        <f t="shared" si="6"/>
        <v>100</v>
      </c>
      <c r="F315" s="2" t="s">
        <v>485</v>
      </c>
      <c r="G315" s="2" t="s">
        <v>485</v>
      </c>
      <c r="H315" s="2" t="s">
        <v>485</v>
      </c>
      <c r="I315" s="1">
        <v>160</v>
      </c>
      <c r="J315" s="1">
        <f t="shared" si="9"/>
        <v>160</v>
      </c>
      <c r="K315" s="2" t="s">
        <v>485</v>
      </c>
      <c r="L315" s="2" t="s">
        <v>485</v>
      </c>
      <c r="M315" s="2" t="s">
        <v>485</v>
      </c>
      <c r="N315" s="1">
        <v>6</v>
      </c>
      <c r="O315" s="1">
        <f t="shared" si="10"/>
        <v>6</v>
      </c>
      <c r="P315" s="1">
        <f t="shared" si="5"/>
        <v>3</v>
      </c>
      <c r="Q315" s="1">
        <v>9</v>
      </c>
      <c r="R315" s="1">
        <v>19</v>
      </c>
      <c r="S315" s="1" t="s">
        <v>485</v>
      </c>
      <c r="T315" s="1" t="s">
        <v>485</v>
      </c>
      <c r="U315" s="2" t="s">
        <v>485</v>
      </c>
      <c r="V315" s="1">
        <v>24</v>
      </c>
      <c r="W315" s="1">
        <v>25</v>
      </c>
      <c r="X315" s="1">
        <v>18</v>
      </c>
      <c r="Y315" s="2" t="s">
        <v>485</v>
      </c>
      <c r="Z315" s="2" t="s">
        <v>485</v>
      </c>
      <c r="AA315" s="2" t="s">
        <v>485</v>
      </c>
      <c r="AB315" s="2" t="s">
        <v>485</v>
      </c>
      <c r="AC315" s="2" t="s">
        <v>485</v>
      </c>
      <c r="AD315" s="80">
        <f t="shared" si="11"/>
        <v>8.8888888888888893</v>
      </c>
      <c r="AE315" s="2" t="s">
        <v>485</v>
      </c>
      <c r="AF315" s="2" t="s">
        <v>485</v>
      </c>
      <c r="AG315" s="80">
        <v>17.3</v>
      </c>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70">
        <f t="shared" si="7"/>
        <v>588.49555921538763</v>
      </c>
      <c r="BW315" s="1"/>
      <c r="BX315" s="70">
        <f t="shared" si="8"/>
        <v>748.49555921538763</v>
      </c>
      <c r="BY315" s="70">
        <f t="shared" si="2"/>
        <v>360</v>
      </c>
      <c r="BZ315" s="70">
        <f t="shared" si="3"/>
        <v>520</v>
      </c>
      <c r="CA315" s="1">
        <v>102</v>
      </c>
      <c r="CB315" s="1"/>
      <c r="CC315" s="1"/>
    </row>
    <row r="316" spans="1:81">
      <c r="A316" s="1" t="s">
        <v>1405</v>
      </c>
      <c r="B316" s="73">
        <v>26.8</v>
      </c>
      <c r="C316" s="1">
        <v>3401</v>
      </c>
      <c r="D316" s="1">
        <v>120</v>
      </c>
      <c r="E316" s="1">
        <f t="shared" si="6"/>
        <v>120</v>
      </c>
      <c r="F316" s="2" t="s">
        <v>485</v>
      </c>
      <c r="G316" s="2" t="s">
        <v>485</v>
      </c>
      <c r="H316" s="2" t="s">
        <v>485</v>
      </c>
      <c r="I316" s="1">
        <v>160</v>
      </c>
      <c r="J316" s="1">
        <f t="shared" si="9"/>
        <v>160</v>
      </c>
      <c r="K316" s="2" t="s">
        <v>485</v>
      </c>
      <c r="L316" s="2" t="s">
        <v>485</v>
      </c>
      <c r="M316" s="2" t="s">
        <v>485</v>
      </c>
      <c r="N316" s="1">
        <v>8</v>
      </c>
      <c r="O316" s="1">
        <f t="shared" si="10"/>
        <v>8</v>
      </c>
      <c r="P316" s="1">
        <f t="shared" si="5"/>
        <v>4</v>
      </c>
      <c r="Q316" s="1">
        <v>13</v>
      </c>
      <c r="R316" s="1">
        <v>19</v>
      </c>
      <c r="S316" s="1" t="s">
        <v>485</v>
      </c>
      <c r="T316" s="1" t="s">
        <v>485</v>
      </c>
      <c r="U316" s="2" t="s">
        <v>485</v>
      </c>
      <c r="V316" s="1">
        <v>28</v>
      </c>
      <c r="W316" s="1">
        <v>30</v>
      </c>
      <c r="X316" s="1">
        <v>19</v>
      </c>
      <c r="Y316" s="2" t="s">
        <v>485</v>
      </c>
      <c r="Z316" s="2" t="s">
        <v>485</v>
      </c>
      <c r="AA316" s="2" t="s">
        <v>485</v>
      </c>
      <c r="AB316" s="2" t="s">
        <v>485</v>
      </c>
      <c r="AC316" s="2" t="s">
        <v>485</v>
      </c>
      <c r="AD316" s="80">
        <f t="shared" si="11"/>
        <v>6.1538461538461542</v>
      </c>
      <c r="AE316" s="2" t="s">
        <v>485</v>
      </c>
      <c r="AF316" s="2" t="s">
        <v>485</v>
      </c>
      <c r="AG316" s="80">
        <v>13</v>
      </c>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70">
        <f t="shared" si="7"/>
        <v>600.49555921538763</v>
      </c>
      <c r="BW316" s="1"/>
      <c r="BX316" s="70">
        <f t="shared" si="8"/>
        <v>760.49555921538763</v>
      </c>
      <c r="BY316" s="70">
        <f t="shared" si="2"/>
        <v>400</v>
      </c>
      <c r="BZ316" s="70">
        <f t="shared" si="3"/>
        <v>560</v>
      </c>
      <c r="CA316" s="1">
        <v>100</v>
      </c>
      <c r="CB316" s="1"/>
      <c r="CC316" s="1"/>
    </row>
    <row r="317" spans="1:81">
      <c r="A317" s="1" t="s">
        <v>1403</v>
      </c>
      <c r="B317" s="73">
        <v>33.799999999999997</v>
      </c>
      <c r="C317" s="1">
        <v>4296</v>
      </c>
      <c r="D317" s="1">
        <v>140</v>
      </c>
      <c r="E317" s="1">
        <f t="shared" si="6"/>
        <v>140</v>
      </c>
      <c r="F317" s="2" t="s">
        <v>485</v>
      </c>
      <c r="G317" s="2" t="s">
        <v>485</v>
      </c>
      <c r="H317" s="2" t="s">
        <v>485</v>
      </c>
      <c r="I317" s="1">
        <v>180</v>
      </c>
      <c r="J317" s="1">
        <f t="shared" si="9"/>
        <v>180</v>
      </c>
      <c r="K317" s="2" t="s">
        <v>485</v>
      </c>
      <c r="L317" s="2" t="s">
        <v>485</v>
      </c>
      <c r="M317" s="2" t="s">
        <v>485</v>
      </c>
      <c r="N317" s="1">
        <v>6</v>
      </c>
      <c r="O317" s="1">
        <f t="shared" si="10"/>
        <v>6</v>
      </c>
      <c r="P317" s="1">
        <f t="shared" si="5"/>
        <v>3</v>
      </c>
      <c r="Q317" s="1">
        <v>9.5</v>
      </c>
      <c r="R317" s="1">
        <v>19</v>
      </c>
      <c r="S317" s="1" t="s">
        <v>485</v>
      </c>
      <c r="T317" s="1" t="s">
        <v>485</v>
      </c>
      <c r="U317" s="2" t="s">
        <v>485</v>
      </c>
      <c r="V317" s="1">
        <v>24.5</v>
      </c>
      <c r="W317" s="1">
        <v>25</v>
      </c>
      <c r="X317" s="1">
        <v>18</v>
      </c>
      <c r="Y317" s="2" t="s">
        <v>485</v>
      </c>
      <c r="Z317" s="2" t="s">
        <v>485</v>
      </c>
      <c r="AA317" s="2" t="s">
        <v>485</v>
      </c>
      <c r="AB317" s="2" t="s">
        <v>485</v>
      </c>
      <c r="AC317" s="2" t="s">
        <v>485</v>
      </c>
      <c r="AD317" s="80">
        <f t="shared" si="11"/>
        <v>9.473684210526315</v>
      </c>
      <c r="AE317" s="2" t="s">
        <v>485</v>
      </c>
      <c r="AF317" s="2" t="s">
        <v>485</v>
      </c>
      <c r="AG317" s="80">
        <v>20.3</v>
      </c>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70">
        <f t="shared" si="7"/>
        <v>648.49555921538763</v>
      </c>
      <c r="BW317" s="1"/>
      <c r="BX317" s="70">
        <f t="shared" si="8"/>
        <v>828.49555921538763</v>
      </c>
      <c r="BY317" s="70">
        <f t="shared" si="2"/>
        <v>460</v>
      </c>
      <c r="BZ317" s="70">
        <f t="shared" si="3"/>
        <v>640</v>
      </c>
      <c r="CA317" s="1">
        <v>121</v>
      </c>
      <c r="CB317" s="1"/>
      <c r="CC317" s="1"/>
    </row>
    <row r="318" spans="1:81">
      <c r="A318" s="1" t="s">
        <v>1406</v>
      </c>
      <c r="B318" s="73">
        <v>42.7</v>
      </c>
      <c r="C318" s="1">
        <v>5425</v>
      </c>
      <c r="D318" s="1">
        <v>160</v>
      </c>
      <c r="E318" s="1">
        <f t="shared" si="6"/>
        <v>160</v>
      </c>
      <c r="F318" s="2" t="s">
        <v>485</v>
      </c>
      <c r="G318" s="2" t="s">
        <v>485</v>
      </c>
      <c r="H318" s="2" t="s">
        <v>485</v>
      </c>
      <c r="I318" s="1">
        <v>180</v>
      </c>
      <c r="J318" s="1">
        <f t="shared" si="9"/>
        <v>180</v>
      </c>
      <c r="K318" s="2" t="s">
        <v>485</v>
      </c>
      <c r="L318" s="2" t="s">
        <v>485</v>
      </c>
      <c r="M318" s="2" t="s">
        <v>485</v>
      </c>
      <c r="N318" s="1">
        <v>8.5</v>
      </c>
      <c r="O318" s="1">
        <f t="shared" si="10"/>
        <v>8.5</v>
      </c>
      <c r="P318" s="1">
        <f t="shared" si="5"/>
        <v>4.25</v>
      </c>
      <c r="Q318" s="1">
        <v>14</v>
      </c>
      <c r="R318" s="1">
        <v>19</v>
      </c>
      <c r="S318" s="1" t="s">
        <v>485</v>
      </c>
      <c r="T318" s="1" t="s">
        <v>485</v>
      </c>
      <c r="U318" s="2" t="s">
        <v>485</v>
      </c>
      <c r="V318" s="1">
        <v>29</v>
      </c>
      <c r="W318" s="1">
        <v>30</v>
      </c>
      <c r="X318" s="1">
        <v>19.3</v>
      </c>
      <c r="Y318" s="2" t="s">
        <v>485</v>
      </c>
      <c r="Z318" s="2" t="s">
        <v>485</v>
      </c>
      <c r="AA318" s="2" t="s">
        <v>485</v>
      </c>
      <c r="AB318" s="2" t="s">
        <v>485</v>
      </c>
      <c r="AC318" s="2" t="s">
        <v>485</v>
      </c>
      <c r="AD318" s="80">
        <f t="shared" si="11"/>
        <v>6.4285714285714288</v>
      </c>
      <c r="AE318" s="2" t="s">
        <v>485</v>
      </c>
      <c r="AF318" s="2" t="s">
        <v>485</v>
      </c>
      <c r="AG318" s="80">
        <v>14.4</v>
      </c>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70">
        <f t="shared" si="7"/>
        <v>665.12387774610556</v>
      </c>
      <c r="BW318" s="1"/>
      <c r="BX318" s="70">
        <f t="shared" si="8"/>
        <v>845.12387774610556</v>
      </c>
      <c r="BY318" s="70">
        <f t="shared" si="2"/>
        <v>500</v>
      </c>
      <c r="BZ318" s="70">
        <f t="shared" si="3"/>
        <v>680</v>
      </c>
      <c r="CA318" s="1">
        <v>120</v>
      </c>
      <c r="CB318" s="1"/>
      <c r="CC318" s="1"/>
    </row>
    <row r="319" spans="1:81">
      <c r="A319" s="1" t="s">
        <v>1404</v>
      </c>
      <c r="B319" s="73">
        <v>51.4</v>
      </c>
      <c r="C319" s="1">
        <v>6525</v>
      </c>
      <c r="D319" s="1">
        <v>180</v>
      </c>
      <c r="E319" s="1">
        <f t="shared" si="6"/>
        <v>180</v>
      </c>
      <c r="F319" s="2" t="s">
        <v>485</v>
      </c>
      <c r="G319" s="2" t="s">
        <v>485</v>
      </c>
      <c r="H319" s="2" t="s">
        <v>485</v>
      </c>
      <c r="I319" s="1">
        <v>200</v>
      </c>
      <c r="J319" s="1">
        <f t="shared" si="9"/>
        <v>200</v>
      </c>
      <c r="K319" s="2" t="s">
        <v>485</v>
      </c>
      <c r="L319" s="2" t="s">
        <v>485</v>
      </c>
      <c r="M319" s="2" t="s">
        <v>485</v>
      </c>
      <c r="N319" s="1">
        <v>6.5</v>
      </c>
      <c r="O319" s="1">
        <f t="shared" si="10"/>
        <v>6.5</v>
      </c>
      <c r="P319" s="1">
        <f t="shared" si="5"/>
        <v>3.25</v>
      </c>
      <c r="Q319" s="1">
        <v>10</v>
      </c>
      <c r="R319" s="1">
        <v>19</v>
      </c>
      <c r="S319" s="1" t="s">
        <v>485</v>
      </c>
      <c r="T319" s="1" t="s">
        <v>485</v>
      </c>
      <c r="U319" s="2" t="s">
        <v>485</v>
      </c>
      <c r="V319" s="1">
        <v>28</v>
      </c>
      <c r="W319" s="1">
        <v>30</v>
      </c>
      <c r="X319" s="1">
        <v>21.3</v>
      </c>
      <c r="Y319" s="2" t="s">
        <v>485</v>
      </c>
      <c r="Z319" s="2" t="s">
        <v>485</v>
      </c>
      <c r="AA319" s="2" t="s">
        <v>485</v>
      </c>
      <c r="AB319" s="2" t="s">
        <v>485</v>
      </c>
      <c r="AC319" s="2" t="s">
        <v>485</v>
      </c>
      <c r="AD319" s="80">
        <f t="shared" si="11"/>
        <v>10</v>
      </c>
      <c r="AE319" s="2" t="s">
        <v>485</v>
      </c>
      <c r="AF319" s="2" t="s">
        <v>485</v>
      </c>
      <c r="AG319" s="80">
        <v>20.6</v>
      </c>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70">
        <f t="shared" si="7"/>
        <v>726.82298958918307</v>
      </c>
      <c r="BW319" s="1"/>
      <c r="BX319" s="70">
        <f t="shared" si="8"/>
        <v>926.82298958918307</v>
      </c>
      <c r="BY319" s="70">
        <f t="shared" si="2"/>
        <v>560</v>
      </c>
      <c r="BZ319" s="70">
        <f t="shared" si="3"/>
        <v>760</v>
      </c>
      <c r="CA319" s="1">
        <v>130</v>
      </c>
      <c r="CB319" s="1"/>
      <c r="CC319" s="1"/>
    </row>
    <row r="320" spans="1:81">
      <c r="A320" s="1" t="s">
        <v>1407</v>
      </c>
      <c r="B320" s="73">
        <v>61.5</v>
      </c>
      <c r="C320" s="1">
        <v>7808</v>
      </c>
      <c r="D320" s="1">
        <v>200</v>
      </c>
      <c r="E320" s="1">
        <f t="shared" si="6"/>
        <v>200</v>
      </c>
      <c r="F320" s="2" t="s">
        <v>485</v>
      </c>
      <c r="G320" s="2" t="s">
        <v>485</v>
      </c>
      <c r="H320" s="2" t="s">
        <v>485</v>
      </c>
      <c r="I320" s="1">
        <v>200</v>
      </c>
      <c r="J320" s="1">
        <f t="shared" si="9"/>
        <v>200</v>
      </c>
      <c r="K320" s="2" t="s">
        <v>485</v>
      </c>
      <c r="L320" s="2" t="s">
        <v>485</v>
      </c>
      <c r="M320" s="2" t="s">
        <v>485</v>
      </c>
      <c r="N320" s="1">
        <v>9</v>
      </c>
      <c r="O320" s="1">
        <f t="shared" si="10"/>
        <v>9</v>
      </c>
      <c r="P320" s="1">
        <f t="shared" si="5"/>
        <v>4.5</v>
      </c>
      <c r="Q320" s="1">
        <v>15</v>
      </c>
      <c r="R320" s="1">
        <v>19</v>
      </c>
      <c r="S320" s="1" t="s">
        <v>485</v>
      </c>
      <c r="T320" s="1" t="s">
        <v>485</v>
      </c>
      <c r="U320" s="2" t="s">
        <v>485</v>
      </c>
      <c r="V320" s="1">
        <v>33</v>
      </c>
      <c r="W320" s="1">
        <v>35</v>
      </c>
      <c r="X320" s="1">
        <v>22.5</v>
      </c>
      <c r="Y320" s="2" t="s">
        <v>485</v>
      </c>
      <c r="Z320" s="2" t="s">
        <v>485</v>
      </c>
      <c r="AA320" s="2" t="s">
        <v>485</v>
      </c>
      <c r="AB320" s="2" t="s">
        <v>485</v>
      </c>
      <c r="AC320" s="2" t="s">
        <v>485</v>
      </c>
      <c r="AD320" s="80">
        <f t="shared" si="11"/>
        <v>6.666666666666667</v>
      </c>
      <c r="AE320" s="2" t="s">
        <v>485</v>
      </c>
      <c r="AF320" s="2" t="s">
        <v>485</v>
      </c>
      <c r="AG320" s="80">
        <v>14.9</v>
      </c>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70">
        <f t="shared" si="7"/>
        <v>746.19467105846513</v>
      </c>
      <c r="BW320" s="1"/>
      <c r="BX320" s="70">
        <f t="shared" si="8"/>
        <v>946.19467105846513</v>
      </c>
      <c r="BY320" s="70">
        <f t="shared" si="2"/>
        <v>600</v>
      </c>
      <c r="BZ320" s="70">
        <f t="shared" si="3"/>
        <v>800</v>
      </c>
      <c r="CA320" s="1">
        <v>130</v>
      </c>
      <c r="CB320" s="1"/>
      <c r="CC320" s="1"/>
    </row>
    <row r="321" spans="1:8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70">
        <f t="shared" si="7"/>
        <v>0</v>
      </c>
      <c r="BW321" s="1"/>
      <c r="BX321" s="70">
        <f t="shared" si="8"/>
        <v>0</v>
      </c>
      <c r="BY321" s="70">
        <f t="shared" si="2"/>
        <v>0</v>
      </c>
      <c r="BZ321" s="70">
        <f t="shared" si="3"/>
        <v>0</v>
      </c>
      <c r="CA321" s="1"/>
      <c r="CB321" s="1"/>
      <c r="CC321" s="1"/>
    </row>
    <row r="322" spans="1:8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70">
        <f t="shared" si="7"/>
        <v>0</v>
      </c>
      <c r="BW322" s="1"/>
      <c r="BX322" s="70">
        <f t="shared" si="8"/>
        <v>0</v>
      </c>
      <c r="BY322" s="70">
        <f t="shared" si="2"/>
        <v>0</v>
      </c>
      <c r="BZ322" s="70">
        <f t="shared" si="3"/>
        <v>0</v>
      </c>
      <c r="CA322" s="1"/>
      <c r="CB322" s="1"/>
      <c r="CC322" s="1"/>
    </row>
    <row r="323" spans="1:8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70">
        <f t="shared" si="7"/>
        <v>0</v>
      </c>
      <c r="BW323" s="1"/>
      <c r="BX323" s="70">
        <f t="shared" si="8"/>
        <v>0</v>
      </c>
      <c r="BY323" s="70">
        <f t="shared" si="2"/>
        <v>0</v>
      </c>
      <c r="BZ323" s="70">
        <f t="shared" si="3"/>
        <v>0</v>
      </c>
      <c r="CA323" s="1"/>
      <c r="CB323" s="1"/>
      <c r="CC323" s="1"/>
    </row>
    <row r="324" spans="1:8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row>
    <row r="325" spans="1:8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row>
    <row r="326" spans="1:8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row>
    <row r="327" spans="1:8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row>
    <row r="328" spans="1:8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row>
    <row r="329" spans="1:8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row>
    <row r="330" spans="1:8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row>
    <row r="331" spans="1:8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row>
    <row r="332" spans="1:8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row>
    <row r="333" spans="1:8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row>
    <row r="334" spans="1:8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row>
    <row r="335" spans="1:8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row>
    <row r="336" spans="1:8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row>
    <row r="337" spans="1:8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activeCell="A2" sqref="A2"/>
    </sheetView>
  </sheetViews>
  <sheetFormatPr baseColWidth="10" defaultColWidth="8.7265625" defaultRowHeight="14.5"/>
  <cols>
    <col min="1" max="1" width="30" style="8" bestFit="1" customWidth="1"/>
    <col min="2" max="2" width="10.81640625" style="8" bestFit="1" customWidth="1"/>
    <col min="3" max="3" width="10.54296875" style="8" bestFit="1" customWidth="1"/>
    <col min="4" max="5" width="13" style="8" bestFit="1" customWidth="1"/>
    <col min="6" max="6" width="12.7265625" style="8" bestFit="1" customWidth="1"/>
    <col min="7" max="8" width="12.7265625" style="8" customWidth="1"/>
    <col min="9" max="11" width="8.7265625" style="8"/>
    <col min="12" max="12" width="11.81640625" style="8" bestFit="1" customWidth="1"/>
    <col min="13" max="15" width="8.7265625" style="8"/>
    <col min="16" max="16" width="11.81640625" style="8" bestFit="1" customWidth="1"/>
    <col min="17" max="17" width="10.81640625" style="8" bestFit="1" customWidth="1"/>
    <col min="18" max="18" width="9.81640625" style="8" bestFit="1" customWidth="1"/>
    <col min="19" max="19" width="8.7265625" style="8"/>
    <col min="20" max="20" width="9.81640625" style="8" bestFit="1" customWidth="1"/>
    <col min="21" max="21" width="11.81640625" style="8" bestFit="1" customWidth="1"/>
    <col min="22" max="22" width="9.54296875" style="8" bestFit="1" customWidth="1"/>
    <col min="23" max="16384" width="8.7265625" style="8"/>
  </cols>
  <sheetData>
    <row r="1" spans="1:81" s="3" customFormat="1" ht="15" customHeight="1" thickBot="1">
      <c r="A1" s="59" t="s">
        <v>0</v>
      </c>
      <c r="B1" s="60" t="s">
        <v>307</v>
      </c>
      <c r="C1" s="60" t="s">
        <v>298</v>
      </c>
      <c r="D1" s="60" t="s">
        <v>310</v>
      </c>
      <c r="E1" s="60" t="s">
        <v>1188</v>
      </c>
      <c r="F1" s="60" t="s">
        <v>314</v>
      </c>
      <c r="G1" s="60" t="s">
        <v>316</v>
      </c>
      <c r="H1" s="60" t="s">
        <v>318</v>
      </c>
      <c r="I1" s="60" t="s">
        <v>1189</v>
      </c>
      <c r="J1" s="60" t="s">
        <v>1190</v>
      </c>
      <c r="K1" s="60" t="s">
        <v>324</v>
      </c>
      <c r="L1" s="60" t="s">
        <v>326</v>
      </c>
      <c r="M1" s="60" t="s">
        <v>328</v>
      </c>
      <c r="N1" s="60" t="s">
        <v>1191</v>
      </c>
      <c r="O1" s="60" t="s">
        <v>1192</v>
      </c>
      <c r="P1" s="60" t="s">
        <v>1193</v>
      </c>
      <c r="Q1" s="60" t="s">
        <v>1223</v>
      </c>
      <c r="R1" s="60" t="s">
        <v>1224</v>
      </c>
      <c r="S1" s="60" t="s">
        <v>340</v>
      </c>
      <c r="T1" s="60" t="s">
        <v>1225</v>
      </c>
      <c r="U1" s="60" t="s">
        <v>1226</v>
      </c>
      <c r="V1" s="60" t="s">
        <v>1227</v>
      </c>
      <c r="W1" s="60" t="s">
        <v>1228</v>
      </c>
      <c r="X1" s="60" t="s">
        <v>1229</v>
      </c>
      <c r="Y1" s="60" t="s">
        <v>352</v>
      </c>
      <c r="Z1" s="60" t="s">
        <v>354</v>
      </c>
      <c r="AA1" s="60" t="s">
        <v>1230</v>
      </c>
      <c r="AB1" s="60" t="s">
        <v>1231</v>
      </c>
      <c r="AC1" s="60" t="s">
        <v>1232</v>
      </c>
      <c r="AD1" s="60" t="s">
        <v>1233</v>
      </c>
      <c r="AE1" s="60" t="s">
        <v>364</v>
      </c>
      <c r="AF1" s="60" t="s">
        <v>1234</v>
      </c>
      <c r="AG1" s="60" t="s">
        <v>1235</v>
      </c>
      <c r="AH1" s="61" t="s">
        <v>1236</v>
      </c>
      <c r="AI1" s="61" t="s">
        <v>372</v>
      </c>
      <c r="AJ1" s="61" t="s">
        <v>1237</v>
      </c>
      <c r="AK1" s="61" t="s">
        <v>1238</v>
      </c>
      <c r="AL1" s="61" t="s">
        <v>1239</v>
      </c>
      <c r="AM1" s="61" t="s">
        <v>1240</v>
      </c>
      <c r="AN1" s="61" t="s">
        <v>1241</v>
      </c>
      <c r="AO1" s="61" t="s">
        <v>1242</v>
      </c>
      <c r="AP1" s="61" t="s">
        <v>1243</v>
      </c>
      <c r="AQ1" s="61" t="s">
        <v>1244</v>
      </c>
      <c r="AR1" s="61" t="s">
        <v>1245</v>
      </c>
      <c r="AS1" s="61" t="s">
        <v>1246</v>
      </c>
      <c r="AT1" s="61" t="s">
        <v>1247</v>
      </c>
      <c r="AU1" s="61" t="s">
        <v>396</v>
      </c>
      <c r="AV1" s="61" t="s">
        <v>1248</v>
      </c>
      <c r="AW1" s="61" t="s">
        <v>400</v>
      </c>
      <c r="AX1" s="61" t="s">
        <v>1249</v>
      </c>
      <c r="AY1" s="61" t="s">
        <v>1250</v>
      </c>
      <c r="AZ1" s="61" t="s">
        <v>1251</v>
      </c>
      <c r="BA1" s="61" t="s">
        <v>1252</v>
      </c>
      <c r="BB1" s="61" t="s">
        <v>1253</v>
      </c>
      <c r="BC1" s="61" t="s">
        <v>1</v>
      </c>
      <c r="BD1" s="61" t="s">
        <v>1254</v>
      </c>
      <c r="BE1" s="61" t="s">
        <v>291</v>
      </c>
      <c r="BF1" s="61" t="s">
        <v>418</v>
      </c>
      <c r="BG1" s="61" t="s">
        <v>1255</v>
      </c>
      <c r="BH1" s="61" t="s">
        <v>1256</v>
      </c>
      <c r="BI1" s="61" t="s">
        <v>1257</v>
      </c>
      <c r="BJ1" s="61" t="s">
        <v>1258</v>
      </c>
      <c r="BK1" s="61" t="s">
        <v>1259</v>
      </c>
      <c r="BL1" s="61" t="s">
        <v>1260</v>
      </c>
      <c r="BM1" s="61" t="s">
        <v>1261</v>
      </c>
      <c r="BN1" s="61" t="s">
        <v>1262</v>
      </c>
      <c r="BO1" s="61" t="s">
        <v>1263</v>
      </c>
      <c r="BP1" s="61" t="s">
        <v>1264</v>
      </c>
      <c r="BQ1" s="61" t="s">
        <v>1265</v>
      </c>
      <c r="BR1" s="61" t="s">
        <v>1266</v>
      </c>
      <c r="BS1" s="61" t="s">
        <v>1267</v>
      </c>
      <c r="BT1" s="61" t="s">
        <v>1268</v>
      </c>
      <c r="BU1" s="61" t="s">
        <v>1269</v>
      </c>
      <c r="BV1" s="61" t="s">
        <v>1270</v>
      </c>
      <c r="BW1" s="61" t="s">
        <v>1271</v>
      </c>
      <c r="BX1" s="61" t="s">
        <v>1272</v>
      </c>
      <c r="BY1" s="61" t="s">
        <v>1273</v>
      </c>
      <c r="BZ1" s="61" t="s">
        <v>1274</v>
      </c>
      <c r="CA1" s="61" t="s">
        <v>460</v>
      </c>
      <c r="CB1" s="61" t="s">
        <v>1275</v>
      </c>
      <c r="CC1" s="62" t="s">
        <v>1276</v>
      </c>
    </row>
    <row r="2" spans="1:81">
      <c r="A2" s="63" t="s">
        <v>488</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489</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490</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491</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492</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493</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494</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495</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496</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497</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498</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499</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500</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501</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502</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503</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504</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505</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506</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507</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508</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509</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510</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511</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512</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513</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514</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515</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516</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517</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518</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519</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520</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521</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522</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523</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524</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525</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526</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527</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528</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529</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530</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531</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532</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533</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534</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535</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536</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537</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538</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539</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540</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541</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542</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543</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544</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545</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546</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547</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548</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549</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550</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551</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552</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553</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554</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555</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556</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557</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558</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559</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560</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561</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562</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563</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564</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565</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566</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567</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568</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569</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570</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571</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572</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573</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574</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575</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576</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577</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578</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579</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580</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581</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582</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583</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584</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585</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586</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587</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588</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589</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590</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591</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592</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593</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594</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595</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596</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597</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598</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599</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600</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601</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602</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603</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604</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605</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606</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607</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608</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609</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610</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611</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612</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613</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614</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615</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616</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617</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618</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619</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620</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621</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622</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623</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624</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625</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626</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627</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628</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629</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630</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631</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632</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633</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634</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635</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636</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637</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638</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639</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640</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641</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642</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643</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644</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645</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646</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647</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648</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649</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650</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651</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652</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653</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654</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655</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656</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657</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658</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659</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660</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661</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662</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663</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664</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665</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666</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667</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668</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669</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670</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671</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672</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673</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674</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675</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676</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677</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678</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679</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680</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681</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682</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683</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684</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685</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686</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687</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688</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689</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690</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691</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692</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693</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694</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695</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696</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697</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698</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699</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700</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701</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702</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703</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704</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705</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706</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707</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708</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709</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710</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711</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712</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713</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714</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715</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716</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717</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718</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719</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720</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721</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722</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723</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724</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725</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726</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727</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728</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729</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730</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731</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732</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733</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734</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735</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736</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737</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738</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739</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740</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741</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742</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743</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744</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745</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746</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747</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748</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749</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750</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751</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752</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753</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754</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755</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756</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757</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758</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759</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760</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761</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762</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763</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764</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765</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766</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767</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768</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769</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770</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771</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772</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773</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774</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775</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776</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777</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778</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779</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780</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781</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782</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783</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784</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785</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786</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787</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788</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789</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790</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791</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792</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793</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794</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795</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796</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797</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798</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799</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800</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801</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802</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803</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804</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805</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806</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807</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808</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809</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810</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811</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812</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813</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814</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815</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816</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817</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818</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819</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820</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821</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822</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823</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824</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825</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826</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827</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828</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829</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830</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831</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832</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833</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834</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835</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836</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837</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838</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839</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840</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841</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842</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843</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844</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845</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846</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847</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848</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849</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850</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851</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852</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853</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854</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855</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856</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857</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858</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859</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860</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861</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862</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863</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864</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865</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866</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867</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868</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869</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870</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871</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872</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873</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874</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875</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876</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877</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878</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879</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880</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881</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882</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883</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884</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885</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886</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887</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888</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889</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890</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891</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892</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893</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894</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895</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896</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897</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898</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899</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900</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901</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902</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903</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904</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905</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906</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907</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908</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909</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910</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911</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912</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913</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914</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915</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916</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917</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918</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919</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920</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921</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922</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923</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924</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925</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926</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927</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928</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929</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930</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931</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932</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933</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934</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935</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936</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937</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938</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939</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940</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941</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942</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943</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944</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945</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946</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947</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948</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949</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950</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951</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952</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953</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954</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955</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956</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957</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958</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959</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960</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961</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962</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963</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964</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965</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966</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967</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968</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969</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970</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971</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972</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973</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974</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975</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976</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977</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978</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979</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980</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981</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982</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983</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984</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985</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986</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987</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988</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989</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990</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991</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992</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993</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994</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995</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996</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997</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998</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999</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1000</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1001</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1002</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1003</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1004</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1005</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1006</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1007</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1008</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1009</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1010</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1011</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1012</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1013</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1014</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1015</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1016</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1017</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1018</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1019</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1020</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1021</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1022</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1023</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1024</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1025</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1026</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1027</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1028</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1029</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1030</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1031</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1032</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1033</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1034</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1035</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1036</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1037</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1038</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1039</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1040</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1041</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1042</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1043</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1044</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1045</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1046</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1047</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1048</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1049</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1050</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1051</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1052</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1053</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1054</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1055</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1056</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1057</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1058</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1059</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1060</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1061</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1062</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1063</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1064</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1065</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1066</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1067</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1068</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1069</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1070</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1071</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1072</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1073</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1074</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1075</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1076</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1077</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1078</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1079</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1080</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1081</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1082</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1083</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1084</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1085</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1086</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1087</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1088</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1089</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1090</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1091</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1092</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1093</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1094</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1095</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1096</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1097</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1098</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1099</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1100</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1101</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1102</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1103</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1104</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1105</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1106</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1107</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1108</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1109</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1110</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1111</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1112</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1113</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1114</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1115</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1116</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1117</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1118</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1119</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1120</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1121</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1122</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1123</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1124</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1125</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1126</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tabSelected="1" workbookViewId="0">
      <selection sqref="A1:XFD107"/>
    </sheetView>
  </sheetViews>
  <sheetFormatPr baseColWidth="10" defaultColWidth="8.7265625" defaultRowHeight="14.5"/>
  <cols>
    <col min="1" max="1" width="25.453125" bestFit="1" customWidth="1"/>
  </cols>
  <sheetData>
    <row r="1" spans="1:81" s="3" customFormat="1" ht="15" customHeight="1" thickBot="1">
      <c r="A1" s="59" t="s">
        <v>0</v>
      </c>
      <c r="B1" s="60" t="s">
        <v>307</v>
      </c>
      <c r="C1" s="60" t="s">
        <v>298</v>
      </c>
      <c r="D1" s="60" t="s">
        <v>310</v>
      </c>
      <c r="E1" s="60" t="s">
        <v>1188</v>
      </c>
      <c r="F1" s="60" t="s">
        <v>314</v>
      </c>
      <c r="G1" s="60" t="s">
        <v>316</v>
      </c>
      <c r="H1" s="60" t="s">
        <v>318</v>
      </c>
      <c r="I1" s="60" t="s">
        <v>1189</v>
      </c>
      <c r="J1" s="60" t="s">
        <v>1190</v>
      </c>
      <c r="K1" s="60" t="s">
        <v>324</v>
      </c>
      <c r="L1" s="60" t="s">
        <v>326</v>
      </c>
      <c r="M1" s="60" t="s">
        <v>328</v>
      </c>
      <c r="N1" s="60" t="s">
        <v>1191</v>
      </c>
      <c r="O1" s="60" t="s">
        <v>1192</v>
      </c>
      <c r="P1" s="60" t="s">
        <v>1193</v>
      </c>
      <c r="Q1" s="60" t="s">
        <v>1223</v>
      </c>
      <c r="R1" s="60" t="s">
        <v>1224</v>
      </c>
      <c r="S1" s="60" t="s">
        <v>340</v>
      </c>
      <c r="T1" s="60" t="s">
        <v>1225</v>
      </c>
      <c r="U1" s="60" t="s">
        <v>1226</v>
      </c>
      <c r="V1" s="60" t="s">
        <v>1227</v>
      </c>
      <c r="W1" s="60" t="s">
        <v>1228</v>
      </c>
      <c r="X1" s="60" t="s">
        <v>1229</v>
      </c>
      <c r="Y1" s="60" t="s">
        <v>352</v>
      </c>
      <c r="Z1" s="60" t="s">
        <v>354</v>
      </c>
      <c r="AA1" s="60" t="s">
        <v>1230</v>
      </c>
      <c r="AB1" s="60" t="s">
        <v>1231</v>
      </c>
      <c r="AC1" s="60" t="s">
        <v>1232</v>
      </c>
      <c r="AD1" s="60" t="s">
        <v>1233</v>
      </c>
      <c r="AE1" s="60" t="s">
        <v>364</v>
      </c>
      <c r="AF1" s="60" t="s">
        <v>1234</v>
      </c>
      <c r="AG1" s="60" t="s">
        <v>1235</v>
      </c>
      <c r="AH1" s="61" t="s">
        <v>1236</v>
      </c>
      <c r="AI1" s="61" t="s">
        <v>372</v>
      </c>
      <c r="AJ1" s="61" t="s">
        <v>1237</v>
      </c>
      <c r="AK1" s="61" t="s">
        <v>1238</v>
      </c>
      <c r="AL1" s="61" t="s">
        <v>1239</v>
      </c>
      <c r="AM1" s="61" t="s">
        <v>1240</v>
      </c>
      <c r="AN1" s="61" t="s">
        <v>1241</v>
      </c>
      <c r="AO1" s="61" t="s">
        <v>1242</v>
      </c>
      <c r="AP1" s="61" t="s">
        <v>1243</v>
      </c>
      <c r="AQ1" s="61" t="s">
        <v>1244</v>
      </c>
      <c r="AR1" s="61" t="s">
        <v>1245</v>
      </c>
      <c r="AS1" s="61" t="s">
        <v>1246</v>
      </c>
      <c r="AT1" s="61" t="s">
        <v>1247</v>
      </c>
      <c r="AU1" s="61" t="s">
        <v>396</v>
      </c>
      <c r="AV1" s="61" t="s">
        <v>1248</v>
      </c>
      <c r="AW1" s="61" t="s">
        <v>400</v>
      </c>
      <c r="AX1" s="61" t="s">
        <v>1249</v>
      </c>
      <c r="AY1" s="61" t="s">
        <v>1250</v>
      </c>
      <c r="AZ1" s="61" t="s">
        <v>1251</v>
      </c>
      <c r="BA1" s="61" t="s">
        <v>1252</v>
      </c>
      <c r="BB1" s="61" t="s">
        <v>1253</v>
      </c>
      <c r="BC1" s="61" t="s">
        <v>1</v>
      </c>
      <c r="BD1" s="61" t="s">
        <v>1254</v>
      </c>
      <c r="BE1" s="61" t="s">
        <v>291</v>
      </c>
      <c r="BF1" s="61" t="s">
        <v>418</v>
      </c>
      <c r="BG1" s="61" t="s">
        <v>1255</v>
      </c>
      <c r="BH1" s="61" t="s">
        <v>1256</v>
      </c>
      <c r="BI1" s="61" t="s">
        <v>1257</v>
      </c>
      <c r="BJ1" s="61" t="s">
        <v>1258</v>
      </c>
      <c r="BK1" s="61" t="s">
        <v>1259</v>
      </c>
      <c r="BL1" s="61" t="s">
        <v>1260</v>
      </c>
      <c r="BM1" s="61" t="s">
        <v>1261</v>
      </c>
      <c r="BN1" s="61" t="s">
        <v>1262</v>
      </c>
      <c r="BO1" s="61" t="s">
        <v>1263</v>
      </c>
      <c r="BP1" s="61" t="s">
        <v>1264</v>
      </c>
      <c r="BQ1" s="61" t="s">
        <v>1265</v>
      </c>
      <c r="BR1" s="61" t="s">
        <v>1266</v>
      </c>
      <c r="BS1" s="61" t="s">
        <v>1267</v>
      </c>
      <c r="BT1" s="61" t="s">
        <v>1268</v>
      </c>
      <c r="BU1" s="61" t="s">
        <v>1269</v>
      </c>
      <c r="BV1" s="61" t="s">
        <v>1270</v>
      </c>
      <c r="BW1" s="61" t="s">
        <v>1271</v>
      </c>
      <c r="BX1" s="61" t="s">
        <v>1272</v>
      </c>
      <c r="BY1" s="61" t="s">
        <v>1273</v>
      </c>
      <c r="BZ1" s="61" t="s">
        <v>1274</v>
      </c>
      <c r="CA1" s="61" t="s">
        <v>460</v>
      </c>
      <c r="CB1" s="61" t="s">
        <v>1275</v>
      </c>
      <c r="CC1" s="62" t="s">
        <v>1276</v>
      </c>
    </row>
    <row r="2" spans="1:81">
      <c r="A2" s="1" t="s">
        <v>1408</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1409</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1410</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1411</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1412</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1413</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1414</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1415</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1416</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1417</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1418</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1419</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1420</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1421</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1422</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1423</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1424</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1425</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1426</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1427</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1428</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1429</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1430</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1431</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1432</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1433</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1434</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1435</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1436</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1437</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1438</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1439</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1440</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1441</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1442</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1443</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1444</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1445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1446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1447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1448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1449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1450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1451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1452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1453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1454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1455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1456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1457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1458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1459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1460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1461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1462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1463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1464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1465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1466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1467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1468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1469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1470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1471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1472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1473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1474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1475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1476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1477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1478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1479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1480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1481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1482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1483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1484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1485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1486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1487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1488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1489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1490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1491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1492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1493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1494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1495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1496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1497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1498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1499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1500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1501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1502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1503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1504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1505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1506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1507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1508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1509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1510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1511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1512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1513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1514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1515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1516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1517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1518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1519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1520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1521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1522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1523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1524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1525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1526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1527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1528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1529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1530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1531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1532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1533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1534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1535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1536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1537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1538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1539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1540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1541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1542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1543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1544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zoomScaleNormal="100" workbookViewId="0">
      <selection activeCell="X77" sqref="X77"/>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6" width="8.7265625" style="25"/>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7" width="12.7265625" style="25" customWidth="1"/>
    <col min="28" max="28" width="10.81640625" style="25" bestFit="1" customWidth="1"/>
    <col min="29" max="41" width="8.7265625" style="25"/>
    <col min="42" max="42" width="9.54296875" style="25" bestFit="1" customWidth="1"/>
    <col min="43" max="45" width="8.7265625" style="25"/>
    <col min="46" max="46" width="9.54296875" style="25" bestFit="1" customWidth="1"/>
    <col min="47" max="52" width="8.7265625" style="25"/>
    <col min="53" max="53" width="9.54296875" style="25" bestFit="1" customWidth="1"/>
    <col min="54" max="16384" width="8.7265625" style="25"/>
  </cols>
  <sheetData>
    <row r="1" spans="1:87" s="3" customFormat="1" ht="15" customHeight="1">
      <c r="A1" s="67" t="s">
        <v>0</v>
      </c>
      <c r="B1" s="67" t="s">
        <v>307</v>
      </c>
      <c r="C1" s="68" t="s">
        <v>298</v>
      </c>
      <c r="D1" s="67" t="s">
        <v>310</v>
      </c>
      <c r="E1" s="67" t="s">
        <v>1188</v>
      </c>
      <c r="F1" s="67" t="s">
        <v>314</v>
      </c>
      <c r="G1" s="67" t="s">
        <v>316</v>
      </c>
      <c r="H1" s="67" t="s">
        <v>1346</v>
      </c>
      <c r="I1" s="67" t="s">
        <v>1348</v>
      </c>
      <c r="J1" s="67" t="s">
        <v>318</v>
      </c>
      <c r="K1" s="67" t="s">
        <v>1189</v>
      </c>
      <c r="L1" s="67" t="s">
        <v>1190</v>
      </c>
      <c r="M1" s="67" t="s">
        <v>324</v>
      </c>
      <c r="N1" s="67" t="s">
        <v>326</v>
      </c>
      <c r="O1" s="67" t="s">
        <v>1347</v>
      </c>
      <c r="P1" s="67" t="s">
        <v>1349</v>
      </c>
      <c r="Q1" s="67" t="s">
        <v>328</v>
      </c>
      <c r="R1" s="67" t="s">
        <v>1191</v>
      </c>
      <c r="S1" s="67" t="s">
        <v>1192</v>
      </c>
      <c r="T1" s="67" t="s">
        <v>1193</v>
      </c>
      <c r="U1" s="67" t="s">
        <v>1223</v>
      </c>
      <c r="V1" s="67" t="s">
        <v>1224</v>
      </c>
      <c r="W1" s="67" t="s">
        <v>340</v>
      </c>
      <c r="X1" s="67" t="s">
        <v>1225</v>
      </c>
      <c r="Y1" s="67" t="s">
        <v>1226</v>
      </c>
      <c r="Z1" s="21" t="s">
        <v>1350</v>
      </c>
      <c r="AA1" s="21" t="s">
        <v>1351</v>
      </c>
      <c r="AB1" s="67" t="s">
        <v>1227</v>
      </c>
      <c r="AC1" s="67" t="s">
        <v>1228</v>
      </c>
      <c r="AD1" s="67" t="s">
        <v>1229</v>
      </c>
      <c r="AE1" s="67" t="s">
        <v>352</v>
      </c>
      <c r="AF1" s="67" t="s">
        <v>354</v>
      </c>
      <c r="AG1" s="67" t="s">
        <v>1230</v>
      </c>
      <c r="AH1" s="67" t="s">
        <v>1231</v>
      </c>
      <c r="AI1" s="67" t="s">
        <v>1232</v>
      </c>
      <c r="AJ1" s="67" t="s">
        <v>1233</v>
      </c>
      <c r="AK1" s="67" t="s">
        <v>364</v>
      </c>
      <c r="AL1" s="67" t="s">
        <v>1234</v>
      </c>
      <c r="AM1" s="67" t="s">
        <v>1235</v>
      </c>
      <c r="AN1" s="67" t="s">
        <v>1236</v>
      </c>
      <c r="AO1" s="67" t="s">
        <v>372</v>
      </c>
      <c r="AP1" s="67" t="s">
        <v>1237</v>
      </c>
      <c r="AQ1" s="67" t="s">
        <v>1238</v>
      </c>
      <c r="AR1" s="67" t="s">
        <v>1239</v>
      </c>
      <c r="AS1" s="67" t="s">
        <v>1240</v>
      </c>
      <c r="AT1" s="67" t="s">
        <v>1241</v>
      </c>
      <c r="AU1" s="67" t="s">
        <v>1242</v>
      </c>
      <c r="AV1" s="67" t="s">
        <v>1243</v>
      </c>
      <c r="AW1" s="67" t="s">
        <v>1244</v>
      </c>
      <c r="AX1" s="67" t="s">
        <v>1245</v>
      </c>
      <c r="AY1" s="67" t="s">
        <v>1246</v>
      </c>
      <c r="AZ1" s="67" t="s">
        <v>1247</v>
      </c>
      <c r="BA1" s="67" t="s">
        <v>396</v>
      </c>
      <c r="BB1" s="67" t="s">
        <v>1248</v>
      </c>
      <c r="BC1" s="67" t="s">
        <v>400</v>
      </c>
      <c r="BD1" s="67" t="s">
        <v>1249</v>
      </c>
      <c r="BE1" s="67" t="s">
        <v>1250</v>
      </c>
      <c r="BF1" s="67" t="s">
        <v>1251</v>
      </c>
      <c r="BG1" s="67" t="s">
        <v>1252</v>
      </c>
      <c r="BH1" s="67" t="s">
        <v>1253</v>
      </c>
      <c r="BI1" s="67" t="s">
        <v>1</v>
      </c>
      <c r="BJ1" s="67" t="s">
        <v>1254</v>
      </c>
      <c r="BK1" s="67" t="s">
        <v>291</v>
      </c>
      <c r="BL1" s="67" t="s">
        <v>418</v>
      </c>
      <c r="BM1" s="67" t="s">
        <v>1255</v>
      </c>
      <c r="BN1" s="67" t="s">
        <v>1256</v>
      </c>
      <c r="BO1" s="67" t="s">
        <v>1257</v>
      </c>
      <c r="BP1" s="67" t="s">
        <v>1258</v>
      </c>
      <c r="BQ1" s="67" t="s">
        <v>1259</v>
      </c>
      <c r="BR1" s="67" t="s">
        <v>1260</v>
      </c>
      <c r="BS1" s="67" t="s">
        <v>1261</v>
      </c>
      <c r="BT1" s="67" t="s">
        <v>1262</v>
      </c>
      <c r="BU1" s="67" t="s">
        <v>1263</v>
      </c>
      <c r="BV1" s="67" t="s">
        <v>1264</v>
      </c>
      <c r="BW1" s="67" t="s">
        <v>1265</v>
      </c>
      <c r="BX1" s="67" t="s">
        <v>1266</v>
      </c>
      <c r="BY1" s="67" t="s">
        <v>1267</v>
      </c>
      <c r="BZ1" s="67" t="s">
        <v>1268</v>
      </c>
      <c r="CA1" s="67" t="s">
        <v>1269</v>
      </c>
      <c r="CB1" s="67" t="s">
        <v>1270</v>
      </c>
      <c r="CC1" s="67" t="s">
        <v>1271</v>
      </c>
      <c r="CD1" s="67" t="s">
        <v>1272</v>
      </c>
      <c r="CE1" s="67" t="s">
        <v>1273</v>
      </c>
      <c r="CF1" s="67" t="s">
        <v>1274</v>
      </c>
      <c r="CG1" s="67" t="s">
        <v>460</v>
      </c>
      <c r="CH1" s="67" t="s">
        <v>1275</v>
      </c>
      <c r="CI1" s="67" t="s">
        <v>1276</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(((2/C2)*((0.5*PI()*((AA2+Y2)^2)*(4*(AA2+Y2)/(3*PI())+(M2-2*AA2-2*Y2)*0.5))-(0.5*PI()*(AA2^2)*(4*AA2/(3*PI())+(M2-2*AA2-2*Y2)*0.5))+((F2-2*AA2-2*Y2)*Y2*(0.5*M2-0.5*Y2))+(0.25*Y2*(M2-2*AA2-2*Y2)^2)))*C2)/(10^3)</f>
        <v>0.85089792060040415</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67"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66" si="31">(((2/C3)*((0.5*PI()*((AA3+Y3)^2)*(4*(AA3+Y3)/(3*PI())+(M3-2*AA3-2*Y3)*0.5))-(0.5*PI()*(AA3^2)*(4*AA3/(3*PI())+(M3-2*AA3-2*Y3)*0.5))+((F3-2*AA3-2*Y3)*Y3*(0.5*M3-0.5*Y3))+(0.25*Y3*(M3-2*AA3-2*Y3)^2)))*C3)/(10^3)</f>
        <v>2.4377582756148071</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s="78" customFormat="1">
      <c r="A5" s="74" t="str">
        <f t="shared" si="2"/>
        <v>PTE50X30X2.5mm</v>
      </c>
      <c r="B5" s="75">
        <v>3.02</v>
      </c>
      <c r="C5" s="75">
        <f t="shared" si="3"/>
        <v>336.45681536418374</v>
      </c>
      <c r="D5" s="76" t="s">
        <v>485</v>
      </c>
      <c r="E5" s="75" t="s">
        <v>485</v>
      </c>
      <c r="F5" s="74">
        <v>50</v>
      </c>
      <c r="G5" s="74">
        <f t="shared" si="4"/>
        <v>43.024999999999999</v>
      </c>
      <c r="H5" s="74">
        <f t="shared" si="5"/>
        <v>45.35</v>
      </c>
      <c r="I5" s="74">
        <f t="shared" si="6"/>
        <v>38.75</v>
      </c>
      <c r="J5" s="75" t="s">
        <v>485</v>
      </c>
      <c r="K5" s="75" t="s">
        <v>485</v>
      </c>
      <c r="L5" s="75" t="s">
        <v>485</v>
      </c>
      <c r="M5" s="74">
        <v>30</v>
      </c>
      <c r="N5" s="74">
        <f t="shared" si="7"/>
        <v>23.025000000000002</v>
      </c>
      <c r="O5" s="74">
        <f t="shared" si="8"/>
        <v>25.35</v>
      </c>
      <c r="P5" s="74">
        <f t="shared" si="9"/>
        <v>18.75</v>
      </c>
      <c r="Q5" s="75" t="s">
        <v>485</v>
      </c>
      <c r="R5" s="75" t="s">
        <v>485</v>
      </c>
      <c r="S5" s="75" t="s">
        <v>485</v>
      </c>
      <c r="T5" s="75" t="s">
        <v>485</v>
      </c>
      <c r="U5" s="75" t="s">
        <v>485</v>
      </c>
      <c r="V5" s="75" t="s">
        <v>485</v>
      </c>
      <c r="W5" s="75" t="s">
        <v>485</v>
      </c>
      <c r="X5" s="74">
        <v>2.5</v>
      </c>
      <c r="Y5" s="74">
        <f t="shared" si="10"/>
        <v>2.3250000000000002</v>
      </c>
      <c r="Z5" s="74">
        <f t="shared" si="11"/>
        <v>1.1625000000000001</v>
      </c>
      <c r="AA5" s="74">
        <f t="shared" si="12"/>
        <v>2.3250000000000002</v>
      </c>
      <c r="AB5" s="75" t="s">
        <v>485</v>
      </c>
      <c r="AC5" s="75" t="str">
        <f t="shared" si="13"/>
        <v>–</v>
      </c>
      <c r="AD5" s="75" t="str">
        <f t="shared" si="14"/>
        <v>–</v>
      </c>
      <c r="AE5" s="75" t="str">
        <f t="shared" si="15"/>
        <v>–</v>
      </c>
      <c r="AF5" s="75" t="str">
        <f t="shared" si="16"/>
        <v>–</v>
      </c>
      <c r="AG5" s="75" t="str">
        <f t="shared" si="17"/>
        <v>–</v>
      </c>
      <c r="AH5" s="75" t="str">
        <f t="shared" si="18"/>
        <v>–</v>
      </c>
      <c r="AI5" s="75" t="str">
        <f t="shared" si="19"/>
        <v>–</v>
      </c>
      <c r="AJ5" s="75" t="str">
        <f t="shared" si="20"/>
        <v>–</v>
      </c>
      <c r="AK5" s="75" t="str">
        <f t="shared" si="21"/>
        <v>–</v>
      </c>
      <c r="AL5" s="75" t="str">
        <f t="shared" si="22"/>
        <v>–</v>
      </c>
      <c r="AM5" s="75" t="str">
        <f t="shared" si="23"/>
        <v>–</v>
      </c>
      <c r="AN5" s="75" t="str">
        <f t="shared" si="24"/>
        <v>–</v>
      </c>
      <c r="AO5" s="75" t="str">
        <f t="shared" si="25"/>
        <v>–</v>
      </c>
      <c r="AP5" s="74">
        <f t="shared" si="26"/>
        <v>0.10707957622853306</v>
      </c>
      <c r="AQ5" s="77">
        <f t="shared" si="27"/>
        <v>5.3742179426611445</v>
      </c>
      <c r="AR5" s="74">
        <f t="shared" si="28"/>
        <v>4.2831830491413223</v>
      </c>
      <c r="AS5" s="74">
        <f t="shared" si="29"/>
        <v>17.839745600550458</v>
      </c>
      <c r="AT5" s="74">
        <f t="shared" si="30"/>
        <v>4.7990098286728566E-2</v>
      </c>
      <c r="AU5" s="23">
        <f t="shared" si="31"/>
        <v>3.7615372890193046</v>
      </c>
      <c r="AV5" s="74">
        <f t="shared" si="32"/>
        <v>3.1993398857819044</v>
      </c>
      <c r="AW5" s="74">
        <f t="shared" si="33"/>
        <v>11.942937367625682</v>
      </c>
      <c r="AX5" s="75" t="s">
        <v>485</v>
      </c>
      <c r="AY5" s="75" t="s">
        <v>485</v>
      </c>
      <c r="AZ5" s="75" t="s">
        <v>485</v>
      </c>
      <c r="BA5" s="75">
        <f t="shared" si="34"/>
        <v>110.1115100079399</v>
      </c>
      <c r="BB5" s="75" t="s">
        <v>485</v>
      </c>
      <c r="BC5" s="75"/>
      <c r="BD5" s="75" t="s">
        <v>485</v>
      </c>
      <c r="BE5" s="75" t="s">
        <v>485</v>
      </c>
      <c r="BF5" s="75" t="s">
        <v>485</v>
      </c>
      <c r="BG5" s="75" t="s">
        <v>485</v>
      </c>
      <c r="BH5" s="75" t="s">
        <v>485</v>
      </c>
      <c r="BI5" s="75" t="s">
        <v>485</v>
      </c>
      <c r="BJ5" s="75" t="s">
        <v>485</v>
      </c>
      <c r="BK5" s="75" t="s">
        <v>485</v>
      </c>
      <c r="BL5" s="75" t="s">
        <v>485</v>
      </c>
      <c r="BM5" s="75" t="s">
        <v>485</v>
      </c>
      <c r="BN5" s="75" t="s">
        <v>485</v>
      </c>
      <c r="BO5" s="75" t="s">
        <v>485</v>
      </c>
      <c r="BP5" s="75" t="s">
        <v>485</v>
      </c>
      <c r="BQ5" s="75" t="s">
        <v>485</v>
      </c>
      <c r="BR5" s="75" t="s">
        <v>485</v>
      </c>
      <c r="BS5" s="75" t="s">
        <v>485</v>
      </c>
      <c r="BT5" s="75" t="s">
        <v>485</v>
      </c>
      <c r="BU5" s="75" t="s">
        <v>485</v>
      </c>
      <c r="BV5" s="75" t="s">
        <v>485</v>
      </c>
      <c r="BW5" s="75" t="s">
        <v>485</v>
      </c>
      <c r="BX5" s="75" t="s">
        <v>485</v>
      </c>
      <c r="BY5" s="75" t="s">
        <v>485</v>
      </c>
      <c r="BZ5" s="75" t="s">
        <v>485</v>
      </c>
      <c r="CA5" s="75" t="s">
        <v>485</v>
      </c>
      <c r="CB5" s="75" t="s">
        <v>485</v>
      </c>
      <c r="CC5" s="75" t="s">
        <v>485</v>
      </c>
      <c r="CD5" s="75" t="s">
        <v>485</v>
      </c>
      <c r="CE5" s="74">
        <f t="shared" si="35"/>
        <v>121.68760875878868</v>
      </c>
      <c r="CF5" s="74">
        <f t="shared" si="36"/>
        <v>144.71260875878869</v>
      </c>
      <c r="CG5" s="75" t="s">
        <v>485</v>
      </c>
      <c r="CH5" s="75" t="s">
        <v>485</v>
      </c>
      <c r="CI5" s="75"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4.0980702932703386</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5.3054539866425072</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6.4360151158402239</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6.0354480248094289</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7.3383183004760397</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5.1751497932703368</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8.1879026158402244</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9.5675700636742071</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9.8309277958078951</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12.024880442661145</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8.1430699866425069</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9.9397901158402213</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10.726331795807894</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13.133324192661142</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19.719258183155382</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19.241245769482067</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22.019272134296333</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67.902574366463156</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97.124637074370668</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55.369512656478513</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78.829748226905167</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85.810654366463154</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210.86865007770749</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149.40434354128917</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201.88830202819344</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764.36970080399658</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1.1059602667870418</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1.3888972728944231</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1.6314733756088446</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4.8208028109258692</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6.2493117958078948</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7.5911054426611457</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PTE50X50X3mm</v>
      </c>
      <c r="B52" s="29">
        <v>4.51</v>
      </c>
      <c r="C52" s="65">
        <f t="shared" si="3"/>
        <v>506.81781412442456</v>
      </c>
      <c r="D52" s="38" t="s">
        <v>485</v>
      </c>
      <c r="E52" s="23" t="s">
        <v>485</v>
      </c>
      <c r="F52" s="24">
        <v>50</v>
      </c>
      <c r="G52" s="22">
        <f t="shared" si="4"/>
        <v>41.63</v>
      </c>
      <c r="H52" s="22">
        <f t="shared" si="5"/>
        <v>44.42</v>
      </c>
      <c r="I52" s="28">
        <f t="shared" si="6"/>
        <v>36.5</v>
      </c>
      <c r="J52" s="23" t="s">
        <v>485</v>
      </c>
      <c r="K52" s="23" t="s">
        <v>485</v>
      </c>
      <c r="L52" s="23" t="s">
        <v>485</v>
      </c>
      <c r="M52" s="24">
        <v>50</v>
      </c>
      <c r="N52" s="22">
        <f t="shared" si="7"/>
        <v>41.63</v>
      </c>
      <c r="O52" s="28">
        <f t="shared" si="8"/>
        <v>44.42</v>
      </c>
      <c r="P52" s="28">
        <f t="shared" si="9"/>
        <v>36.5</v>
      </c>
      <c r="Q52" s="23" t="s">
        <v>485</v>
      </c>
      <c r="R52" s="23" t="s">
        <v>485</v>
      </c>
      <c r="S52" s="23" t="s">
        <v>485</v>
      </c>
      <c r="T52" s="23" t="s">
        <v>485</v>
      </c>
      <c r="U52" s="23" t="s">
        <v>485</v>
      </c>
      <c r="V52" s="23" t="s">
        <v>485</v>
      </c>
      <c r="W52" s="23" t="s">
        <v>485</v>
      </c>
      <c r="X52" s="24">
        <v>3</v>
      </c>
      <c r="Y52" s="22">
        <f t="shared" si="10"/>
        <v>2.79</v>
      </c>
      <c r="Z52" s="22">
        <f t="shared" si="11"/>
        <v>1.395</v>
      </c>
      <c r="AA52" s="22">
        <f t="shared" si="12"/>
        <v>2.79</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0.18439999653541209</v>
      </c>
      <c r="AQ52" s="26">
        <f t="shared" si="27"/>
        <v>8.8476821342963348</v>
      </c>
      <c r="AR52" s="22">
        <f t="shared" si="28"/>
        <v>7.3759998614164832</v>
      </c>
      <c r="AS52" s="22">
        <f t="shared" si="29"/>
        <v>19.074559553224148</v>
      </c>
      <c r="AT52" s="22">
        <f t="shared" si="30"/>
        <v>0.18439999653541209</v>
      </c>
      <c r="AU52" s="23">
        <f t="shared" si="31"/>
        <v>8.8476821342963348</v>
      </c>
      <c r="AV52" s="22">
        <f t="shared" si="32"/>
        <v>7.3759998614164832</v>
      </c>
      <c r="AW52" s="22">
        <f t="shared" si="33"/>
        <v>19.074559553224148</v>
      </c>
      <c r="AX52" s="23" t="s">
        <v>485</v>
      </c>
      <c r="AY52" s="23" t="s">
        <v>485</v>
      </c>
      <c r="AZ52" s="23" t="s">
        <v>485</v>
      </c>
      <c r="BA52" s="23">
        <f t="shared" si="34"/>
        <v>301.0742276008865</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f t="shared" si="35"/>
        <v>140.02513051054643</v>
      </c>
      <c r="CF52" s="22">
        <f t="shared" si="36"/>
        <v>181.65513051054643</v>
      </c>
      <c r="CG52" s="23" t="s">
        <v>485</v>
      </c>
      <c r="CH52" s="23" t="s">
        <v>485</v>
      </c>
      <c r="CI52" s="23" t="s">
        <v>485</v>
      </c>
    </row>
    <row r="53" spans="1:87">
      <c r="A53" s="22" t="str">
        <f t="shared" si="2"/>
        <v>PTE60X60X2mm</v>
      </c>
      <c r="B53" s="29">
        <v>3.71</v>
      </c>
      <c r="C53" s="65">
        <f t="shared" si="3"/>
        <v>423.65236183307798</v>
      </c>
      <c r="D53" s="38" t="s">
        <v>485</v>
      </c>
      <c r="E53" s="23" t="s">
        <v>485</v>
      </c>
      <c r="F53" s="24">
        <v>60</v>
      </c>
      <c r="G53" s="22">
        <f t="shared" si="4"/>
        <v>54.42</v>
      </c>
      <c r="H53" s="22">
        <f t="shared" si="5"/>
        <v>56.28</v>
      </c>
      <c r="I53" s="28">
        <f t="shared" si="6"/>
        <v>51</v>
      </c>
      <c r="J53" s="23" t="s">
        <v>485</v>
      </c>
      <c r="K53" s="23" t="s">
        <v>485</v>
      </c>
      <c r="L53" s="23" t="s">
        <v>485</v>
      </c>
      <c r="M53" s="24">
        <v>60</v>
      </c>
      <c r="N53" s="22">
        <f t="shared" si="7"/>
        <v>54.42</v>
      </c>
      <c r="O53" s="28">
        <f t="shared" si="8"/>
        <v>56.28</v>
      </c>
      <c r="P53" s="28">
        <f t="shared" si="9"/>
        <v>51</v>
      </c>
      <c r="Q53" s="23" t="s">
        <v>485</v>
      </c>
      <c r="R53" s="23" t="s">
        <v>485</v>
      </c>
      <c r="S53" s="23" t="s">
        <v>485</v>
      </c>
      <c r="T53" s="23" t="s">
        <v>485</v>
      </c>
      <c r="U53" s="23" t="s">
        <v>485</v>
      </c>
      <c r="V53" s="23" t="s">
        <v>485</v>
      </c>
      <c r="W53" s="23" t="s">
        <v>485</v>
      </c>
      <c r="X53" s="24">
        <v>2</v>
      </c>
      <c r="Y53" s="22">
        <f t="shared" si="10"/>
        <v>1.86</v>
      </c>
      <c r="Z53" s="22">
        <f t="shared" si="11"/>
        <v>0.93</v>
      </c>
      <c r="AA53" s="22">
        <f t="shared" si="12"/>
        <v>1.86</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0.23611472288336499</v>
      </c>
      <c r="AQ53" s="26">
        <f t="shared" si="27"/>
        <v>9.1699776049732851</v>
      </c>
      <c r="AR53" s="22">
        <f t="shared" si="28"/>
        <v>7.8704907627788332</v>
      </c>
      <c r="AS53" s="22">
        <f t="shared" si="29"/>
        <v>23.607865280529751</v>
      </c>
      <c r="AT53" s="22">
        <f t="shared" si="30"/>
        <v>0.23611472288336499</v>
      </c>
      <c r="AU53" s="23">
        <f t="shared" si="31"/>
        <v>9.1699776049732851</v>
      </c>
      <c r="AV53" s="22">
        <f t="shared" si="32"/>
        <v>7.8704907627788332</v>
      </c>
      <c r="AW53" s="22">
        <f t="shared" si="33"/>
        <v>23.607865280529751</v>
      </c>
      <c r="AX53" s="23" t="s">
        <v>485</v>
      </c>
      <c r="AY53" s="23" t="s">
        <v>485</v>
      </c>
      <c r="AZ53" s="23" t="s">
        <v>485</v>
      </c>
      <c r="BA53" s="23">
        <f t="shared" si="34"/>
        <v>371.75573324994298</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f t="shared" si="35"/>
        <v>173.35008700703116</v>
      </c>
      <c r="CF53" s="22">
        <f t="shared" si="36"/>
        <v>227.77008700703115</v>
      </c>
      <c r="CG53" s="23" t="s">
        <v>485</v>
      </c>
      <c r="CH53" s="23" t="s">
        <v>485</v>
      </c>
      <c r="CI53" s="23" t="s">
        <v>485</v>
      </c>
    </row>
    <row r="54" spans="1:87">
      <c r="A54" s="22" t="str">
        <f t="shared" si="2"/>
        <v>PTE60X60X2.5mm</v>
      </c>
      <c r="B54" s="29">
        <v>4.59</v>
      </c>
      <c r="C54" s="65">
        <f t="shared" si="3"/>
        <v>522.45681536418442</v>
      </c>
      <c r="D54" s="38" t="s">
        <v>485</v>
      </c>
      <c r="E54" s="23" t="s">
        <v>485</v>
      </c>
      <c r="F54" s="24">
        <v>60</v>
      </c>
      <c r="G54" s="22">
        <f t="shared" si="4"/>
        <v>53.024999999999999</v>
      </c>
      <c r="H54" s="22">
        <f t="shared" si="5"/>
        <v>55.35</v>
      </c>
      <c r="I54" s="28">
        <f t="shared" si="6"/>
        <v>48.75</v>
      </c>
      <c r="J54" s="23" t="s">
        <v>485</v>
      </c>
      <c r="K54" s="23" t="s">
        <v>485</v>
      </c>
      <c r="L54" s="23" t="s">
        <v>485</v>
      </c>
      <c r="M54" s="24">
        <v>60</v>
      </c>
      <c r="N54" s="22">
        <f t="shared" si="7"/>
        <v>53.024999999999999</v>
      </c>
      <c r="O54" s="28">
        <f t="shared" si="8"/>
        <v>55.35</v>
      </c>
      <c r="P54" s="28">
        <f t="shared" si="9"/>
        <v>48.75</v>
      </c>
      <c r="Q54" s="23" t="s">
        <v>485</v>
      </c>
      <c r="R54" s="23" t="s">
        <v>485</v>
      </c>
      <c r="S54" s="23" t="s">
        <v>485</v>
      </c>
      <c r="T54" s="23" t="s">
        <v>485</v>
      </c>
      <c r="U54" s="23" t="s">
        <v>485</v>
      </c>
      <c r="V54" s="23" t="s">
        <v>485</v>
      </c>
      <c r="W54" s="23" t="s">
        <v>485</v>
      </c>
      <c r="X54" s="24">
        <v>2.5</v>
      </c>
      <c r="Y54" s="22">
        <f t="shared" si="10"/>
        <v>2.3250000000000002</v>
      </c>
      <c r="Z54" s="22">
        <f t="shared" si="11"/>
        <v>1.1625000000000001</v>
      </c>
      <c r="AA54" s="22">
        <f t="shared" si="12"/>
        <v>2.3250000000000002</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0.28569191260174892</v>
      </c>
      <c r="AQ54" s="26">
        <f t="shared" si="27"/>
        <v>11.195583269482064</v>
      </c>
      <c r="AR54" s="22">
        <f t="shared" si="28"/>
        <v>9.5230637533916322</v>
      </c>
      <c r="AS54" s="22">
        <f t="shared" si="29"/>
        <v>23.384267683891732</v>
      </c>
      <c r="AT54" s="22">
        <f t="shared" si="30"/>
        <v>0.28569191260174892</v>
      </c>
      <c r="AU54" s="23">
        <f t="shared" si="31"/>
        <v>11.195583269482064</v>
      </c>
      <c r="AV54" s="22">
        <f t="shared" si="32"/>
        <v>9.5230637533916322</v>
      </c>
      <c r="AW54" s="22">
        <f t="shared" si="33"/>
        <v>23.384267683891732</v>
      </c>
      <c r="AX54" s="23" t="s">
        <v>485</v>
      </c>
      <c r="AY54" s="23" t="s">
        <v>485</v>
      </c>
      <c r="AZ54" s="23" t="s">
        <v>485</v>
      </c>
      <c r="BA54" s="23">
        <f t="shared" si="34"/>
        <v>455.06707228683717</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f t="shared" si="35"/>
        <v>171.68760875878897</v>
      </c>
      <c r="CF54" s="22">
        <f t="shared" si="36"/>
        <v>224.71260875878897</v>
      </c>
      <c r="CG54" s="23" t="s">
        <v>485</v>
      </c>
      <c r="CH54" s="23" t="s">
        <v>485</v>
      </c>
      <c r="CI54" s="23" t="s">
        <v>485</v>
      </c>
    </row>
    <row r="55" spans="1:87">
      <c r="A55" s="22" t="str">
        <f t="shared" si="2"/>
        <v>PTE70X70X1.5mm</v>
      </c>
      <c r="B55" s="29">
        <v>3.28</v>
      </c>
      <c r="C55" s="65">
        <f t="shared" ref="C55:C81" si="37">M55*F55-((4-PI())*(AA55+Y55)^2)-(O55*H55-(4-PI())*AA55^2)</f>
        <v>377.80445353110645</v>
      </c>
      <c r="D55" s="38" t="s">
        <v>485</v>
      </c>
      <c r="E55" s="23" t="s">
        <v>485</v>
      </c>
      <c r="F55" s="24">
        <v>70</v>
      </c>
      <c r="G55" s="22">
        <f t="shared" ref="G55:G81" si="38">H55-2*Z55</f>
        <v>65.814999999999998</v>
      </c>
      <c r="H55" s="22">
        <f t="shared" ref="H55:H81" si="39">F55-2*Y55</f>
        <v>67.209999999999994</v>
      </c>
      <c r="I55" s="28">
        <f t="shared" ref="I55:I81" si="40">F55-2*2.25*X55</f>
        <v>63.25</v>
      </c>
      <c r="J55" s="23" t="s">
        <v>485</v>
      </c>
      <c r="K55" s="23" t="s">
        <v>485</v>
      </c>
      <c r="L55" s="23" t="s">
        <v>485</v>
      </c>
      <c r="M55" s="24">
        <v>70</v>
      </c>
      <c r="N55" s="22">
        <f t="shared" ref="N55:N81" si="41">O55-2*Z55</f>
        <v>65.814999999999998</v>
      </c>
      <c r="O55" s="28">
        <f t="shared" ref="O55:O81" si="42">M55-2*Y55</f>
        <v>67.209999999999994</v>
      </c>
      <c r="P55" s="28">
        <f t="shared" ref="P55:P81" si="43">M55-2*2.25*X55</f>
        <v>63.25</v>
      </c>
      <c r="Q55" s="23" t="s">
        <v>485</v>
      </c>
      <c r="R55" s="23" t="s">
        <v>485</v>
      </c>
      <c r="S55" s="23" t="s">
        <v>485</v>
      </c>
      <c r="T55" s="23" t="s">
        <v>485</v>
      </c>
      <c r="U55" s="23" t="s">
        <v>485</v>
      </c>
      <c r="V55" s="23" t="s">
        <v>485</v>
      </c>
      <c r="W55" s="23" t="s">
        <v>485</v>
      </c>
      <c r="X55" s="24">
        <v>1.5</v>
      </c>
      <c r="Y55" s="22">
        <f t="shared" ref="Y55:Y81" si="44">0.93*X55</f>
        <v>1.395</v>
      </c>
      <c r="Z55" s="22">
        <f t="shared" ref="Z55:Z81" si="45">Y55*0.5</f>
        <v>0.69750000000000001</v>
      </c>
      <c r="AA55" s="22">
        <f t="shared" ref="AA55:AA81" si="46">Y55</f>
        <v>1.395</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0.29437411628525334</v>
      </c>
      <c r="AQ55" s="26">
        <f t="shared" ref="AQ55:AQ81" si="61">(((2/C55)*((0.5*PI()*((AA55+Y55)^2)*(4*(AA55+Y55)/(3*PI())+(F55-2*AA55-2*Y55)*0.5))-(0.5*PI()*(AA55^2)*(4*AA55/(3*PI())+(F55-2*AA55-2*Y55)*0.5))+((M55-2*AA55-2*Y55)*Y55*(0.5*F55-0.5*Y55))+(0.25*Y55*(F55-2*AA55-2*Y55)^2)))*C55)/(10^3)</f>
        <v>9.6759268462369334</v>
      </c>
      <c r="AR55" s="22">
        <f t="shared" ref="AR55:AR81" si="62">(2*AP55*10^6/F55)/(10^3)</f>
        <v>8.4106890367215232</v>
      </c>
      <c r="AS55" s="22">
        <f t="shared" ref="AS55:AS81" si="63">SQRT(AP55*10^6/C55)</f>
        <v>27.913627190205457</v>
      </c>
      <c r="AT55" s="22">
        <f t="shared" ref="AT55:AT81" si="64">((F55-2*AA55-2*Y55)*M55^3/12+((AA55+Y55)*(M55-2*Y55-2*AA55)^3)/6+((9*PI()^2-64)*(AA55+Y55)^4)/(36*PI())+PI()*(AA55+Y55)^2*(4*(AA55+Y55)/(3*PI())+(M55-2*AA55-2*Y55)*0.5)^2-
((F55-2*AA55-2*Y55)*O55^3/12+AA55*(M55-2*Y55-2*AA55)^3/6+(9*PI()^2-64)*AA55^4/(36*PI())+PI()*AA55^2*(4*AA55/(3*PI())+(M55-2*AA55-2*Y55)*0.5)^2))/(10^6)</f>
        <v>0.29437411628525334</v>
      </c>
      <c r="AU55" s="23">
        <f t="shared" si="31"/>
        <v>9.6759268462369334</v>
      </c>
      <c r="AV55" s="22">
        <f t="shared" ref="AV55:AV81" si="65">(2*AT55*10^6/M55)/(10^3)</f>
        <v>8.4106890367215232</v>
      </c>
      <c r="AW55" s="22">
        <f t="shared" ref="AW55:AW81" si="66">SQRT(AT55*10^6/C55)</f>
        <v>27.913627190205457</v>
      </c>
      <c r="AX55" s="23" t="s">
        <v>485</v>
      </c>
      <c r="AY55" s="23" t="s">
        <v>485</v>
      </c>
      <c r="AZ55" s="23" t="s">
        <v>485</v>
      </c>
      <c r="BA55" s="23">
        <f t="shared" ref="BA55:BA81" si="67">(4*(((F55-Y55)*(M55-Y55)-(0.5*(2*AA55+Y55))^2*(4-PI()))^2*Y55)/(2*((F55-Y55)+(M55-Y55))-2*(0.5*(2*AA55+Y55))*(4-PI())))/(10^3)</f>
        <v>455.69105351786357</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f t="shared" ref="CE55:CE81" si="68">CF55-N55</f>
        <v>205.01256525527344</v>
      </c>
      <c r="CF55" s="22">
        <f t="shared" ref="CF55:CF81" si="69">C55/Y55</f>
        <v>270.82756525527344</v>
      </c>
      <c r="CG55" s="23" t="s">
        <v>485</v>
      </c>
      <c r="CH55" s="23" t="s">
        <v>485</v>
      </c>
      <c r="CI55" s="23" t="s">
        <v>485</v>
      </c>
    </row>
    <row r="56" spans="1:87">
      <c r="A56" s="22" t="str">
        <f t="shared" si="2"/>
        <v>PTE70X70X2mm</v>
      </c>
      <c r="B56" s="29">
        <v>4.34</v>
      </c>
      <c r="C56" s="65">
        <f t="shared" si="37"/>
        <v>498.05236183307716</v>
      </c>
      <c r="D56" s="38" t="s">
        <v>485</v>
      </c>
      <c r="E56" s="23" t="s">
        <v>485</v>
      </c>
      <c r="F56" s="24">
        <v>70</v>
      </c>
      <c r="G56" s="22">
        <f t="shared" si="38"/>
        <v>64.42</v>
      </c>
      <c r="H56" s="22">
        <f t="shared" si="39"/>
        <v>66.28</v>
      </c>
      <c r="I56" s="28">
        <f t="shared" si="40"/>
        <v>61</v>
      </c>
      <c r="J56" s="23" t="s">
        <v>485</v>
      </c>
      <c r="K56" s="23" t="s">
        <v>485</v>
      </c>
      <c r="L56" s="23" t="s">
        <v>485</v>
      </c>
      <c r="M56" s="24">
        <v>70</v>
      </c>
      <c r="N56" s="22">
        <f t="shared" si="41"/>
        <v>64.42</v>
      </c>
      <c r="O56" s="28">
        <f t="shared" si="42"/>
        <v>66.28</v>
      </c>
      <c r="P56" s="28">
        <f t="shared" si="43"/>
        <v>61</v>
      </c>
      <c r="Q56" s="23" t="s">
        <v>485</v>
      </c>
      <c r="R56" s="23" t="s">
        <v>485</v>
      </c>
      <c r="S56" s="23" t="s">
        <v>485</v>
      </c>
      <c r="T56" s="23" t="s">
        <v>485</v>
      </c>
      <c r="U56" s="23" t="s">
        <v>485</v>
      </c>
      <c r="V56" s="23" t="s">
        <v>485</v>
      </c>
      <c r="W56" s="23" t="s">
        <v>485</v>
      </c>
      <c r="X56" s="24">
        <v>2</v>
      </c>
      <c r="Y56" s="22">
        <f t="shared" si="44"/>
        <v>1.86</v>
      </c>
      <c r="Z56" s="22">
        <f t="shared" si="45"/>
        <v>0.93</v>
      </c>
      <c r="AA56" s="22">
        <f t="shared" si="46"/>
        <v>1.86</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0.38190698701892445</v>
      </c>
      <c r="AQ56" s="26">
        <f t="shared" si="61"/>
        <v>12.648643414138673</v>
      </c>
      <c r="AR56" s="22">
        <f t="shared" si="62"/>
        <v>10.911628200540697</v>
      </c>
      <c r="AS56" s="22">
        <f t="shared" si="63"/>
        <v>27.691169627524477</v>
      </c>
      <c r="AT56" s="22">
        <f t="shared" si="64"/>
        <v>0.38190698701892445</v>
      </c>
      <c r="AU56" s="23">
        <f t="shared" si="31"/>
        <v>12.648643414138673</v>
      </c>
      <c r="AV56" s="22">
        <f t="shared" si="65"/>
        <v>10.911628200540697</v>
      </c>
      <c r="AW56" s="22">
        <f t="shared" si="66"/>
        <v>27.691169627524477</v>
      </c>
      <c r="AX56" s="23" t="s">
        <v>485</v>
      </c>
      <c r="AY56" s="23" t="s">
        <v>485</v>
      </c>
      <c r="AZ56" s="23" t="s">
        <v>485</v>
      </c>
      <c r="BA56" s="23">
        <f t="shared" si="67"/>
        <v>597.26695483455887</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f t="shared" si="68"/>
        <v>203.35008700703071</v>
      </c>
      <c r="CF56" s="22">
        <f t="shared" si="69"/>
        <v>267.77008700703072</v>
      </c>
      <c r="CG56" s="23" t="s">
        <v>485</v>
      </c>
      <c r="CH56" s="23" t="s">
        <v>485</v>
      </c>
      <c r="CI56" s="23" t="s">
        <v>485</v>
      </c>
    </row>
    <row r="57" spans="1:87">
      <c r="A57" s="22" t="str">
        <f t="shared" si="2"/>
        <v>PTE70X70X2.5mm</v>
      </c>
      <c r="B57" s="29">
        <v>5.37</v>
      </c>
      <c r="C57" s="65">
        <f t="shared" si="37"/>
        <v>615.45681536418488</v>
      </c>
      <c r="D57" s="38" t="s">
        <v>485</v>
      </c>
      <c r="E57" s="23" t="s">
        <v>485</v>
      </c>
      <c r="F57" s="24">
        <v>70</v>
      </c>
      <c r="G57" s="22">
        <f t="shared" si="38"/>
        <v>63.024999999999991</v>
      </c>
      <c r="H57" s="22">
        <f t="shared" si="39"/>
        <v>65.349999999999994</v>
      </c>
      <c r="I57" s="28">
        <f t="shared" si="40"/>
        <v>58.75</v>
      </c>
      <c r="J57" s="23" t="s">
        <v>485</v>
      </c>
      <c r="K57" s="23" t="s">
        <v>485</v>
      </c>
      <c r="L57" s="23" t="s">
        <v>485</v>
      </c>
      <c r="M57" s="24">
        <v>70</v>
      </c>
      <c r="N57" s="22">
        <f t="shared" si="41"/>
        <v>63.024999999999991</v>
      </c>
      <c r="O57" s="28">
        <f t="shared" si="42"/>
        <v>65.349999999999994</v>
      </c>
      <c r="P57" s="28">
        <f t="shared" si="43"/>
        <v>58.75</v>
      </c>
      <c r="Q57" s="23" t="s">
        <v>485</v>
      </c>
      <c r="R57" s="23" t="s">
        <v>485</v>
      </c>
      <c r="S57" s="23" t="s">
        <v>485</v>
      </c>
      <c r="T57" s="23" t="s">
        <v>485</v>
      </c>
      <c r="U57" s="23" t="s">
        <v>485</v>
      </c>
      <c r="V57" s="23" t="s">
        <v>485</v>
      </c>
      <c r="W57" s="23" t="s">
        <v>485</v>
      </c>
      <c r="X57" s="24">
        <v>2.5</v>
      </c>
      <c r="Y57" s="22">
        <f t="shared" si="44"/>
        <v>2.3250000000000002</v>
      </c>
      <c r="Z57" s="22">
        <f t="shared" si="45"/>
        <v>1.1625000000000001</v>
      </c>
      <c r="AA57" s="22">
        <f t="shared" si="46"/>
        <v>2.3250000000000002</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0.46435901536817431</v>
      </c>
      <c r="AQ57" s="26">
        <f t="shared" si="61"/>
        <v>15.497561096302983</v>
      </c>
      <c r="AR57" s="22">
        <f t="shared" si="62"/>
        <v>13.267400439090695</v>
      </c>
      <c r="AS57" s="22">
        <f t="shared" si="63"/>
        <v>27.468070170411806</v>
      </c>
      <c r="AT57" s="22">
        <f t="shared" si="64"/>
        <v>0.46435901536817431</v>
      </c>
      <c r="AU57" s="23">
        <f t="shared" si="31"/>
        <v>15.497561096302983</v>
      </c>
      <c r="AV57" s="22">
        <f t="shared" si="65"/>
        <v>13.267400439090695</v>
      </c>
      <c r="AW57" s="22">
        <f t="shared" si="66"/>
        <v>27.468070170411806</v>
      </c>
      <c r="AX57" s="23" t="s">
        <v>485</v>
      </c>
      <c r="AY57" s="23" t="s">
        <v>485</v>
      </c>
      <c r="AZ57" s="23" t="s">
        <v>485</v>
      </c>
      <c r="BA57" s="23">
        <f t="shared" si="67"/>
        <v>733.56576016904751</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f t="shared" si="68"/>
        <v>201.68760875878922</v>
      </c>
      <c r="CF57" s="22">
        <f t="shared" si="69"/>
        <v>264.7126087587892</v>
      </c>
      <c r="CG57" s="23" t="s">
        <v>485</v>
      </c>
      <c r="CH57" s="23" t="s">
        <v>485</v>
      </c>
      <c r="CI57" s="23" t="s">
        <v>485</v>
      </c>
    </row>
    <row r="58" spans="1:87">
      <c r="A58" s="22" t="str">
        <f t="shared" si="2"/>
        <v>PTE70X70X3mm</v>
      </c>
      <c r="B58" s="29">
        <v>6.39</v>
      </c>
      <c r="C58" s="65">
        <f t="shared" si="37"/>
        <v>730.01781412442506</v>
      </c>
      <c r="D58" s="38" t="s">
        <v>485</v>
      </c>
      <c r="E58" s="23" t="s">
        <v>485</v>
      </c>
      <c r="F58" s="24">
        <v>70</v>
      </c>
      <c r="G58" s="22">
        <f t="shared" si="38"/>
        <v>61.63</v>
      </c>
      <c r="H58" s="22">
        <f t="shared" si="39"/>
        <v>64.42</v>
      </c>
      <c r="I58" s="28">
        <f t="shared" si="40"/>
        <v>56.5</v>
      </c>
      <c r="J58" s="23" t="s">
        <v>485</v>
      </c>
      <c r="K58" s="23" t="s">
        <v>485</v>
      </c>
      <c r="L58" s="23" t="s">
        <v>485</v>
      </c>
      <c r="M58" s="24">
        <v>70</v>
      </c>
      <c r="N58" s="22">
        <f t="shared" si="41"/>
        <v>61.63</v>
      </c>
      <c r="O58" s="28">
        <f t="shared" si="42"/>
        <v>64.42</v>
      </c>
      <c r="P58" s="28">
        <f t="shared" si="43"/>
        <v>56.5</v>
      </c>
      <c r="Q58" s="23" t="s">
        <v>485</v>
      </c>
      <c r="R58" s="23" t="s">
        <v>485</v>
      </c>
      <c r="S58" s="23" t="s">
        <v>485</v>
      </c>
      <c r="T58" s="23" t="s">
        <v>485</v>
      </c>
      <c r="U58" s="23" t="s">
        <v>485</v>
      </c>
      <c r="V58" s="23" t="s">
        <v>485</v>
      </c>
      <c r="W58" s="23" t="s">
        <v>485</v>
      </c>
      <c r="X58" s="24">
        <v>3</v>
      </c>
      <c r="Y58" s="22">
        <f t="shared" si="44"/>
        <v>2.79</v>
      </c>
      <c r="Z58" s="22">
        <f t="shared" si="45"/>
        <v>1.395</v>
      </c>
      <c r="AA58" s="22">
        <f t="shared" si="46"/>
        <v>2.79</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0.54185724915378142</v>
      </c>
      <c r="AQ58" s="26">
        <f t="shared" si="61"/>
        <v>18.224178275540581</v>
      </c>
      <c r="AR58" s="22">
        <f t="shared" si="62"/>
        <v>15.481635690108043</v>
      </c>
      <c r="AS58" s="22">
        <f t="shared" si="63"/>
        <v>27.24430383051001</v>
      </c>
      <c r="AT58" s="22">
        <f t="shared" si="64"/>
        <v>0.54185724915378142</v>
      </c>
      <c r="AU58" s="23">
        <f t="shared" si="31"/>
        <v>18.224178275540581</v>
      </c>
      <c r="AV58" s="22">
        <f t="shared" si="65"/>
        <v>15.481635690108043</v>
      </c>
      <c r="AW58" s="22">
        <f t="shared" si="66"/>
        <v>27.24430383051001</v>
      </c>
      <c r="AX58" s="23" t="s">
        <v>485</v>
      </c>
      <c r="AY58" s="23" t="s">
        <v>485</v>
      </c>
      <c r="AZ58" s="23" t="s">
        <v>485</v>
      </c>
      <c r="BA58" s="23">
        <f t="shared" si="67"/>
        <v>864.51954176563413</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f t="shared" si="68"/>
        <v>200.0251305105466</v>
      </c>
      <c r="CF58" s="22">
        <f t="shared" si="69"/>
        <v>261.6551305105466</v>
      </c>
      <c r="CG58" s="23" t="s">
        <v>485</v>
      </c>
      <c r="CH58" s="23" t="s">
        <v>485</v>
      </c>
      <c r="CI58" s="23" t="s">
        <v>485</v>
      </c>
    </row>
    <row r="59" spans="1:87">
      <c r="A59" s="22" t="str">
        <f t="shared" si="2"/>
        <v>PTE75X75X3mm</v>
      </c>
      <c r="B59" s="29">
        <v>6.86</v>
      </c>
      <c r="C59" s="65">
        <f t="shared" si="37"/>
        <v>785.81781412442524</v>
      </c>
      <c r="D59" s="38" t="s">
        <v>485</v>
      </c>
      <c r="E59" s="23" t="s">
        <v>485</v>
      </c>
      <c r="F59" s="24">
        <v>75</v>
      </c>
      <c r="G59" s="22">
        <f t="shared" si="38"/>
        <v>66.63</v>
      </c>
      <c r="H59" s="22">
        <f t="shared" si="39"/>
        <v>69.42</v>
      </c>
      <c r="I59" s="28">
        <f t="shared" si="40"/>
        <v>61.5</v>
      </c>
      <c r="J59" s="23" t="s">
        <v>485</v>
      </c>
      <c r="K59" s="23" t="s">
        <v>485</v>
      </c>
      <c r="L59" s="23" t="s">
        <v>485</v>
      </c>
      <c r="M59" s="24">
        <v>75</v>
      </c>
      <c r="N59" s="22">
        <f t="shared" si="41"/>
        <v>66.63</v>
      </c>
      <c r="O59" s="28">
        <f t="shared" si="42"/>
        <v>69.42</v>
      </c>
      <c r="P59" s="28">
        <f t="shared" si="43"/>
        <v>61.5</v>
      </c>
      <c r="Q59" s="23" t="s">
        <v>485</v>
      </c>
      <c r="R59" s="23" t="s">
        <v>485</v>
      </c>
      <c r="S59" s="23" t="s">
        <v>485</v>
      </c>
      <c r="T59" s="23" t="s">
        <v>485</v>
      </c>
      <c r="U59" s="23" t="s">
        <v>485</v>
      </c>
      <c r="V59" s="23" t="s">
        <v>485</v>
      </c>
      <c r="W59" s="23" t="s">
        <v>485</v>
      </c>
      <c r="X59" s="24">
        <v>3</v>
      </c>
      <c r="Y59" s="22">
        <f t="shared" si="44"/>
        <v>2.79</v>
      </c>
      <c r="Z59" s="22">
        <f t="shared" si="45"/>
        <v>1.395</v>
      </c>
      <c r="AA59" s="22">
        <f t="shared" si="46"/>
        <v>2.79</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0.67398660649976183</v>
      </c>
      <c r="AQ59" s="26">
        <f t="shared" si="61"/>
        <v>21.091427310851643</v>
      </c>
      <c r="AR59" s="22">
        <f t="shared" si="62"/>
        <v>17.97297617332698</v>
      </c>
      <c r="AS59" s="22">
        <f t="shared" si="63"/>
        <v>29.286312905778725</v>
      </c>
      <c r="AT59" s="22">
        <f t="shared" si="64"/>
        <v>0.67398660649976183</v>
      </c>
      <c r="AU59" s="23">
        <f t="shared" si="31"/>
        <v>21.091427310851643</v>
      </c>
      <c r="AV59" s="22">
        <f t="shared" si="65"/>
        <v>17.97297617332698</v>
      </c>
      <c r="AW59" s="22">
        <f t="shared" si="66"/>
        <v>29.286312905778725</v>
      </c>
      <c r="AX59" s="23" t="s">
        <v>485</v>
      </c>
      <c r="AY59" s="23" t="s">
        <v>485</v>
      </c>
      <c r="AZ59" s="23" t="s">
        <v>485</v>
      </c>
      <c r="BA59" s="23">
        <f t="shared" si="67"/>
        <v>1071.0947460753418</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f t="shared" si="68"/>
        <v>215.02513051054666</v>
      </c>
      <c r="CF59" s="22">
        <f t="shared" si="69"/>
        <v>281.65513051054666</v>
      </c>
      <c r="CG59" s="23" t="s">
        <v>485</v>
      </c>
      <c r="CH59" s="23" t="s">
        <v>485</v>
      </c>
      <c r="CI59" s="23" t="s">
        <v>485</v>
      </c>
    </row>
    <row r="60" spans="1:87">
      <c r="A60" s="22" t="str">
        <f t="shared" si="2"/>
        <v>PTE75X75X4mm</v>
      </c>
      <c r="B60" s="29">
        <v>9</v>
      </c>
      <c r="C60" s="65">
        <f t="shared" si="37"/>
        <v>1025.0094473323106</v>
      </c>
      <c r="D60" s="38" t="s">
        <v>485</v>
      </c>
      <c r="E60" s="23" t="s">
        <v>485</v>
      </c>
      <c r="F60" s="24">
        <v>75</v>
      </c>
      <c r="G60" s="22">
        <f t="shared" si="38"/>
        <v>63.84</v>
      </c>
      <c r="H60" s="22">
        <f t="shared" si="39"/>
        <v>67.56</v>
      </c>
      <c r="I60" s="28">
        <f t="shared" si="40"/>
        <v>57</v>
      </c>
      <c r="J60" s="23" t="s">
        <v>485</v>
      </c>
      <c r="K60" s="23" t="s">
        <v>485</v>
      </c>
      <c r="L60" s="23" t="s">
        <v>485</v>
      </c>
      <c r="M60" s="24">
        <v>75</v>
      </c>
      <c r="N60" s="22">
        <f t="shared" si="41"/>
        <v>63.84</v>
      </c>
      <c r="O60" s="28">
        <f t="shared" si="42"/>
        <v>67.56</v>
      </c>
      <c r="P60" s="28">
        <f t="shared" si="43"/>
        <v>57</v>
      </c>
      <c r="Q60" s="23" t="s">
        <v>485</v>
      </c>
      <c r="R60" s="23" t="s">
        <v>485</v>
      </c>
      <c r="S60" s="23" t="s">
        <v>485</v>
      </c>
      <c r="T60" s="23" t="s">
        <v>485</v>
      </c>
      <c r="U60" s="23" t="s">
        <v>485</v>
      </c>
      <c r="V60" s="23" t="s">
        <v>485</v>
      </c>
      <c r="W60" s="23" t="s">
        <v>485</v>
      </c>
      <c r="X60" s="24">
        <v>4</v>
      </c>
      <c r="Y60" s="22">
        <f t="shared" si="44"/>
        <v>3.72</v>
      </c>
      <c r="Z60" s="22">
        <f t="shared" si="45"/>
        <v>1.86</v>
      </c>
      <c r="AA60" s="22">
        <f t="shared" si="46"/>
        <v>3.72</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0.85238989561544154</v>
      </c>
      <c r="AQ60" s="26">
        <f t="shared" si="61"/>
        <v>27.065336274809273</v>
      </c>
      <c r="AR60" s="22">
        <f t="shared" si="62"/>
        <v>22.730397216411774</v>
      </c>
      <c r="AS60" s="22">
        <f t="shared" si="63"/>
        <v>28.837340956665724</v>
      </c>
      <c r="AT60" s="22">
        <f t="shared" si="64"/>
        <v>0.85238989561544154</v>
      </c>
      <c r="AU60" s="23">
        <f t="shared" si="31"/>
        <v>27.065336274809273</v>
      </c>
      <c r="AV60" s="22">
        <f t="shared" si="65"/>
        <v>22.730397216411774</v>
      </c>
      <c r="AW60" s="22">
        <f t="shared" si="66"/>
        <v>28.837340956665724</v>
      </c>
      <c r="AX60" s="23" t="s">
        <v>485</v>
      </c>
      <c r="AY60" s="23" t="s">
        <v>485</v>
      </c>
      <c r="AZ60" s="23" t="s">
        <v>485</v>
      </c>
      <c r="BA60" s="23">
        <f t="shared" si="67"/>
        <v>1379.4548816725787</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f t="shared" si="68"/>
        <v>211.70017401406196</v>
      </c>
      <c r="CF60" s="22">
        <f t="shared" si="69"/>
        <v>275.54017401406196</v>
      </c>
      <c r="CG60" s="23" t="s">
        <v>485</v>
      </c>
      <c r="CH60" s="23" t="s">
        <v>485</v>
      </c>
      <c r="CI60" s="23" t="s">
        <v>485</v>
      </c>
    </row>
    <row r="61" spans="1:87">
      <c r="A61" s="22" t="str">
        <f t="shared" si="2"/>
        <v>PTE75X75X6mm</v>
      </c>
      <c r="B61" s="29">
        <v>13.04</v>
      </c>
      <c r="C61" s="65">
        <f t="shared" si="37"/>
        <v>1469.2712564976996</v>
      </c>
      <c r="D61" s="38" t="s">
        <v>485</v>
      </c>
      <c r="E61" s="23" t="s">
        <v>485</v>
      </c>
      <c r="F61" s="24">
        <v>75</v>
      </c>
      <c r="G61" s="22">
        <f t="shared" si="38"/>
        <v>58.260000000000005</v>
      </c>
      <c r="H61" s="22">
        <f t="shared" si="39"/>
        <v>63.84</v>
      </c>
      <c r="I61" s="28">
        <f t="shared" si="40"/>
        <v>48</v>
      </c>
      <c r="J61" s="23" t="s">
        <v>485</v>
      </c>
      <c r="K61" s="23" t="s">
        <v>485</v>
      </c>
      <c r="L61" s="23" t="s">
        <v>485</v>
      </c>
      <c r="M61" s="24">
        <v>75</v>
      </c>
      <c r="N61" s="22">
        <f t="shared" si="41"/>
        <v>58.260000000000005</v>
      </c>
      <c r="O61" s="28">
        <f t="shared" si="42"/>
        <v>63.84</v>
      </c>
      <c r="P61" s="28">
        <f t="shared" si="43"/>
        <v>48</v>
      </c>
      <c r="Q61" s="23" t="s">
        <v>485</v>
      </c>
      <c r="R61" s="23" t="s">
        <v>485</v>
      </c>
      <c r="S61" s="23" t="s">
        <v>485</v>
      </c>
      <c r="T61" s="23" t="s">
        <v>485</v>
      </c>
      <c r="U61" s="23" t="s">
        <v>485</v>
      </c>
      <c r="V61" s="23" t="s">
        <v>485</v>
      </c>
      <c r="W61" s="23" t="s">
        <v>485</v>
      </c>
      <c r="X61" s="24">
        <v>6</v>
      </c>
      <c r="Y61" s="22">
        <f t="shared" si="44"/>
        <v>5.58</v>
      </c>
      <c r="Z61" s="22">
        <f t="shared" si="45"/>
        <v>2.79</v>
      </c>
      <c r="AA61" s="22">
        <f t="shared" si="46"/>
        <v>5.58</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1.1462347163350943</v>
      </c>
      <c r="AQ61" s="26">
        <f t="shared" si="61"/>
        <v>37.500226368149406</v>
      </c>
      <c r="AR61" s="22">
        <f t="shared" si="62"/>
        <v>30.566259102269182</v>
      </c>
      <c r="AS61" s="22">
        <f t="shared" si="63"/>
        <v>27.930955165845312</v>
      </c>
      <c r="AT61" s="22">
        <f t="shared" si="64"/>
        <v>1.1462347163350943</v>
      </c>
      <c r="AU61" s="23">
        <f t="shared" si="31"/>
        <v>37.500226368149406</v>
      </c>
      <c r="AV61" s="22">
        <f t="shared" si="65"/>
        <v>30.566259102269182</v>
      </c>
      <c r="AW61" s="22">
        <f t="shared" si="66"/>
        <v>27.930955165845312</v>
      </c>
      <c r="AX61" s="23" t="s">
        <v>485</v>
      </c>
      <c r="AY61" s="23" t="s">
        <v>485</v>
      </c>
      <c r="AZ61" s="23" t="s">
        <v>485</v>
      </c>
      <c r="BA61" s="23">
        <f t="shared" si="67"/>
        <v>1919.8073121792202</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f t="shared" si="68"/>
        <v>205.05026102109315</v>
      </c>
      <c r="CF61" s="22">
        <f t="shared" si="69"/>
        <v>263.31026102109314</v>
      </c>
      <c r="CG61" s="23" t="s">
        <v>485</v>
      </c>
      <c r="CH61" s="23" t="s">
        <v>485</v>
      </c>
      <c r="CI61" s="23" t="s">
        <v>485</v>
      </c>
    </row>
    <row r="62" spans="1:87">
      <c r="A62" s="22" t="str">
        <f t="shared" si="2"/>
        <v>PTE90X90X2mm</v>
      </c>
      <c r="B62" s="29">
        <v>5.59</v>
      </c>
      <c r="C62" s="65">
        <f t="shared" si="37"/>
        <v>646.85236183307734</v>
      </c>
      <c r="D62" s="38" t="s">
        <v>485</v>
      </c>
      <c r="E62" s="23" t="s">
        <v>485</v>
      </c>
      <c r="F62" s="24">
        <v>90</v>
      </c>
      <c r="G62" s="22">
        <f t="shared" si="38"/>
        <v>84.42</v>
      </c>
      <c r="H62" s="22">
        <f t="shared" si="39"/>
        <v>86.28</v>
      </c>
      <c r="I62" s="28">
        <f t="shared" si="40"/>
        <v>81</v>
      </c>
      <c r="J62" s="23" t="s">
        <v>485</v>
      </c>
      <c r="K62" s="23" t="s">
        <v>485</v>
      </c>
      <c r="L62" s="23" t="s">
        <v>485</v>
      </c>
      <c r="M62" s="24">
        <v>90</v>
      </c>
      <c r="N62" s="22">
        <f t="shared" si="41"/>
        <v>84.42</v>
      </c>
      <c r="O62" s="28">
        <f t="shared" si="42"/>
        <v>86.28</v>
      </c>
      <c r="P62" s="28">
        <f t="shared" si="43"/>
        <v>81</v>
      </c>
      <c r="Q62" s="23" t="s">
        <v>485</v>
      </c>
      <c r="R62" s="23" t="s">
        <v>485</v>
      </c>
      <c r="S62" s="23" t="s">
        <v>485</v>
      </c>
      <c r="T62" s="23" t="s">
        <v>485</v>
      </c>
      <c r="U62" s="23" t="s">
        <v>485</v>
      </c>
      <c r="V62" s="23" t="s">
        <v>485</v>
      </c>
      <c r="W62" s="23" t="s">
        <v>485</v>
      </c>
      <c r="X62" s="24">
        <v>2</v>
      </c>
      <c r="Y62" s="22">
        <f t="shared" si="44"/>
        <v>1.86</v>
      </c>
      <c r="Z62" s="22">
        <f t="shared" si="45"/>
        <v>0.93</v>
      </c>
      <c r="AA62" s="22">
        <f t="shared" si="46"/>
        <v>1.86</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0.83168360956500376</v>
      </c>
      <c r="AQ62" s="26">
        <f t="shared" si="61"/>
        <v>21.279975032469451</v>
      </c>
      <c r="AR62" s="22">
        <f t="shared" si="62"/>
        <v>18.481857990333417</v>
      </c>
      <c r="AS62" s="22">
        <f t="shared" si="63"/>
        <v>35.857209385119688</v>
      </c>
      <c r="AT62" s="22">
        <f t="shared" si="64"/>
        <v>0.83168360956500376</v>
      </c>
      <c r="AU62" s="23">
        <f t="shared" si="31"/>
        <v>21.279975032469451</v>
      </c>
      <c r="AV62" s="22">
        <f t="shared" si="65"/>
        <v>18.481857990333417</v>
      </c>
      <c r="AW62" s="22">
        <f t="shared" si="66"/>
        <v>35.857209385119688</v>
      </c>
      <c r="AX62" s="23" t="s">
        <v>485</v>
      </c>
      <c r="AY62" s="23" t="s">
        <v>485</v>
      </c>
      <c r="AZ62" s="23" t="s">
        <v>485</v>
      </c>
      <c r="BA62" s="23">
        <f t="shared" si="67"/>
        <v>1288.9185964708643</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f t="shared" si="68"/>
        <v>263.35008700703077</v>
      </c>
      <c r="CF62" s="22">
        <f t="shared" si="69"/>
        <v>347.77008700703078</v>
      </c>
      <c r="CG62" s="23" t="s">
        <v>485</v>
      </c>
      <c r="CH62" s="23" t="s">
        <v>485</v>
      </c>
      <c r="CI62" s="23" t="s">
        <v>485</v>
      </c>
    </row>
    <row r="63" spans="1:87">
      <c r="A63" s="22" t="str">
        <f t="shared" si="2"/>
        <v>PTE90X90X2.5mm</v>
      </c>
      <c r="B63" s="29">
        <v>6.94</v>
      </c>
      <c r="C63" s="65">
        <f t="shared" si="37"/>
        <v>801.45681536418579</v>
      </c>
      <c r="D63" s="38" t="s">
        <v>485</v>
      </c>
      <c r="E63" s="23" t="s">
        <v>485</v>
      </c>
      <c r="F63" s="24">
        <v>90</v>
      </c>
      <c r="G63" s="22">
        <f t="shared" si="38"/>
        <v>83.024999999999991</v>
      </c>
      <c r="H63" s="22">
        <f t="shared" si="39"/>
        <v>85.35</v>
      </c>
      <c r="I63" s="28">
        <f t="shared" si="40"/>
        <v>78.75</v>
      </c>
      <c r="J63" s="23" t="s">
        <v>485</v>
      </c>
      <c r="K63" s="23" t="s">
        <v>485</v>
      </c>
      <c r="L63" s="23" t="s">
        <v>485</v>
      </c>
      <c r="M63" s="24">
        <v>90</v>
      </c>
      <c r="N63" s="22">
        <f t="shared" si="41"/>
        <v>83.024999999999991</v>
      </c>
      <c r="O63" s="28">
        <f t="shared" si="42"/>
        <v>85.35</v>
      </c>
      <c r="P63" s="28">
        <f t="shared" si="43"/>
        <v>78.75</v>
      </c>
      <c r="Q63" s="23" t="s">
        <v>485</v>
      </c>
      <c r="R63" s="23" t="s">
        <v>485</v>
      </c>
      <c r="S63" s="23" t="s">
        <v>485</v>
      </c>
      <c r="T63" s="23" t="s">
        <v>485</v>
      </c>
      <c r="U63" s="23" t="s">
        <v>485</v>
      </c>
      <c r="V63" s="23" t="s">
        <v>485</v>
      </c>
      <c r="W63" s="23" t="s">
        <v>485</v>
      </c>
      <c r="X63" s="24">
        <v>2.5</v>
      </c>
      <c r="Y63" s="22">
        <f t="shared" si="44"/>
        <v>2.3250000000000002</v>
      </c>
      <c r="Z63" s="22">
        <f t="shared" si="45"/>
        <v>1.1625000000000001</v>
      </c>
      <c r="AA63" s="22">
        <f t="shared" si="46"/>
        <v>2.3250000000000002</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1.0177183682056525</v>
      </c>
      <c r="AQ63" s="26">
        <f t="shared" si="61"/>
        <v>26.194016749944815</v>
      </c>
      <c r="AR63" s="22">
        <f t="shared" si="62"/>
        <v>22.615963737903392</v>
      </c>
      <c r="AS63" s="22">
        <f t="shared" si="63"/>
        <v>35.634752213326223</v>
      </c>
      <c r="AT63" s="22">
        <f t="shared" si="64"/>
        <v>1.0177183682056525</v>
      </c>
      <c r="AU63" s="23">
        <f t="shared" si="31"/>
        <v>26.194016749944815</v>
      </c>
      <c r="AV63" s="22">
        <f t="shared" si="65"/>
        <v>22.615963737903392</v>
      </c>
      <c r="AW63" s="22">
        <f t="shared" si="66"/>
        <v>35.634752213326223</v>
      </c>
      <c r="AX63" s="23" t="s">
        <v>485</v>
      </c>
      <c r="AY63" s="23" t="s">
        <v>485</v>
      </c>
      <c r="AZ63" s="23" t="s">
        <v>485</v>
      </c>
      <c r="BA63" s="23">
        <f t="shared" si="67"/>
        <v>1589.8214063933467</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f t="shared" si="68"/>
        <v>261.68760875878957</v>
      </c>
      <c r="CF63" s="22">
        <f t="shared" si="69"/>
        <v>344.71260875878954</v>
      </c>
      <c r="CG63" s="23" t="s">
        <v>485</v>
      </c>
      <c r="CH63" s="23" t="s">
        <v>485</v>
      </c>
      <c r="CI63" s="23" t="s">
        <v>485</v>
      </c>
    </row>
    <row r="64" spans="1:87">
      <c r="A64" s="22" t="str">
        <f t="shared" si="2"/>
        <v>PTE100X100X2mm</v>
      </c>
      <c r="B64" s="29">
        <v>6.22</v>
      </c>
      <c r="C64" s="65">
        <f t="shared" si="37"/>
        <v>721.25236183307607</v>
      </c>
      <c r="D64" s="38" t="s">
        <v>485</v>
      </c>
      <c r="E64" s="23" t="s">
        <v>485</v>
      </c>
      <c r="F64" s="24">
        <v>100</v>
      </c>
      <c r="G64" s="22">
        <f t="shared" si="38"/>
        <v>94.42</v>
      </c>
      <c r="H64" s="22">
        <f t="shared" si="39"/>
        <v>96.28</v>
      </c>
      <c r="I64" s="28">
        <f t="shared" si="40"/>
        <v>91</v>
      </c>
      <c r="J64" s="23" t="s">
        <v>485</v>
      </c>
      <c r="K64" s="23" t="s">
        <v>485</v>
      </c>
      <c r="L64" s="23" t="s">
        <v>485</v>
      </c>
      <c r="M64" s="24">
        <v>100</v>
      </c>
      <c r="N64" s="22">
        <f t="shared" si="41"/>
        <v>94.42</v>
      </c>
      <c r="O64" s="28">
        <f t="shared" si="42"/>
        <v>96.28</v>
      </c>
      <c r="P64" s="28">
        <f t="shared" si="43"/>
        <v>91</v>
      </c>
      <c r="Q64" s="23" t="s">
        <v>485</v>
      </c>
      <c r="R64" s="23" t="s">
        <v>485</v>
      </c>
      <c r="S64" s="23" t="s">
        <v>485</v>
      </c>
      <c r="T64" s="23" t="s">
        <v>485</v>
      </c>
      <c r="U64" s="23" t="s">
        <v>485</v>
      </c>
      <c r="V64" s="23" t="s">
        <v>485</v>
      </c>
      <c r="W64" s="23" t="s">
        <v>485</v>
      </c>
      <c r="X64" s="24">
        <v>2</v>
      </c>
      <c r="Y64" s="22">
        <f t="shared" si="44"/>
        <v>1.86</v>
      </c>
      <c r="Z64" s="22">
        <f t="shared" si="45"/>
        <v>0.93</v>
      </c>
      <c r="AA64" s="22">
        <f t="shared" si="46"/>
        <v>1.86</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1.1505479679755262</v>
      </c>
      <c r="AQ64" s="26">
        <f t="shared" si="61"/>
        <v>26.432640841634843</v>
      </c>
      <c r="AR64" s="22">
        <f t="shared" si="62"/>
        <v>23.010959359510522</v>
      </c>
      <c r="AS64" s="22">
        <f t="shared" si="63"/>
        <v>39.940062552342852</v>
      </c>
      <c r="AT64" s="22">
        <f t="shared" si="64"/>
        <v>1.1505479679755262</v>
      </c>
      <c r="AU64" s="23">
        <f t="shared" si="31"/>
        <v>26.432640841634843</v>
      </c>
      <c r="AV64" s="22">
        <f t="shared" si="65"/>
        <v>23.010959359510522</v>
      </c>
      <c r="AW64" s="22">
        <f t="shared" si="66"/>
        <v>39.940062552342852</v>
      </c>
      <c r="AX64" s="23" t="s">
        <v>485</v>
      </c>
      <c r="AY64" s="23" t="s">
        <v>485</v>
      </c>
      <c r="AZ64" s="23" t="s">
        <v>485</v>
      </c>
      <c r="BA64" s="23">
        <f t="shared" si="67"/>
        <v>1777.3789973891476</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f t="shared" si="68"/>
        <v>293.35008700703008</v>
      </c>
      <c r="CF64" s="22">
        <f t="shared" si="69"/>
        <v>387.7700870070301</v>
      </c>
      <c r="CG64" s="23" t="s">
        <v>485</v>
      </c>
      <c r="CH64" s="23" t="s">
        <v>485</v>
      </c>
      <c r="CI64" s="23" t="s">
        <v>485</v>
      </c>
    </row>
    <row r="65" spans="1:87">
      <c r="A65" s="22" t="str">
        <f t="shared" si="2"/>
        <v>PTE100X100X2.5mm</v>
      </c>
      <c r="B65" s="29">
        <v>7.73</v>
      </c>
      <c r="C65" s="65">
        <f t="shared" si="37"/>
        <v>894.45681536418306</v>
      </c>
      <c r="D65" s="38" t="s">
        <v>485</v>
      </c>
      <c r="E65" s="23" t="s">
        <v>485</v>
      </c>
      <c r="F65" s="24">
        <v>100</v>
      </c>
      <c r="G65" s="22">
        <f t="shared" si="38"/>
        <v>93.024999999999991</v>
      </c>
      <c r="H65" s="22">
        <f t="shared" si="39"/>
        <v>95.35</v>
      </c>
      <c r="I65" s="28">
        <f t="shared" si="40"/>
        <v>88.75</v>
      </c>
      <c r="J65" s="23" t="s">
        <v>485</v>
      </c>
      <c r="K65" s="23" t="s">
        <v>485</v>
      </c>
      <c r="L65" s="23" t="s">
        <v>485</v>
      </c>
      <c r="M65" s="24">
        <v>100</v>
      </c>
      <c r="N65" s="22">
        <f t="shared" si="41"/>
        <v>93.024999999999991</v>
      </c>
      <c r="O65" s="28">
        <f t="shared" si="42"/>
        <v>95.35</v>
      </c>
      <c r="P65" s="28">
        <f t="shared" si="43"/>
        <v>88.75</v>
      </c>
      <c r="Q65" s="23" t="s">
        <v>485</v>
      </c>
      <c r="R65" s="23" t="s">
        <v>485</v>
      </c>
      <c r="S65" s="23" t="s">
        <v>485</v>
      </c>
      <c r="T65" s="23" t="s">
        <v>485</v>
      </c>
      <c r="U65" s="23" t="s">
        <v>485</v>
      </c>
      <c r="V65" s="23" t="s">
        <v>485</v>
      </c>
      <c r="W65" s="23" t="s">
        <v>485</v>
      </c>
      <c r="X65" s="24">
        <v>2.5</v>
      </c>
      <c r="Y65" s="22">
        <f t="shared" si="44"/>
        <v>2.3250000000000002</v>
      </c>
      <c r="Z65" s="22">
        <f t="shared" si="45"/>
        <v>1.1625000000000001</v>
      </c>
      <c r="AA65" s="22">
        <f t="shared" si="46"/>
        <v>2.3250000000000002</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1.411010618276705</v>
      </c>
      <c r="AQ65" s="26">
        <f t="shared" si="61"/>
        <v>32.58849457676574</v>
      </c>
      <c r="AR65" s="22">
        <f t="shared" si="62"/>
        <v>28.220212365534103</v>
      </c>
      <c r="AS65" s="22">
        <f t="shared" si="63"/>
        <v>39.717824475733984</v>
      </c>
      <c r="AT65" s="22">
        <f t="shared" si="64"/>
        <v>1.411010618276705</v>
      </c>
      <c r="AU65" s="23">
        <f t="shared" si="31"/>
        <v>32.58849457676574</v>
      </c>
      <c r="AV65" s="22">
        <f t="shared" si="65"/>
        <v>28.220212365534103</v>
      </c>
      <c r="AW65" s="22">
        <f t="shared" si="66"/>
        <v>39.717824475733984</v>
      </c>
      <c r="AX65" s="23" t="s">
        <v>485</v>
      </c>
      <c r="AY65" s="23" t="s">
        <v>485</v>
      </c>
      <c r="AZ65" s="23" t="s">
        <v>485</v>
      </c>
      <c r="BA65" s="23">
        <f t="shared" si="67"/>
        <v>2195.4783038558071</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f t="shared" si="68"/>
        <v>291.68760875878843</v>
      </c>
      <c r="CF65" s="22">
        <f t="shared" si="69"/>
        <v>384.71260875878841</v>
      </c>
      <c r="CG65" s="23" t="s">
        <v>485</v>
      </c>
      <c r="CH65" s="23" t="s">
        <v>485</v>
      </c>
      <c r="CI65" s="23" t="s">
        <v>485</v>
      </c>
    </row>
    <row r="66" spans="1:87">
      <c r="A66" s="22" t="str">
        <f t="shared" si="2"/>
        <v>PTE100X100X3mm</v>
      </c>
      <c r="B66" s="29">
        <v>9.2200000000000006</v>
      </c>
      <c r="C66" s="65">
        <f t="shared" si="37"/>
        <v>1064.8178141244261</v>
      </c>
      <c r="D66" s="38" t="s">
        <v>485</v>
      </c>
      <c r="E66" s="23" t="s">
        <v>485</v>
      </c>
      <c r="F66" s="24">
        <v>100</v>
      </c>
      <c r="G66" s="22">
        <f t="shared" si="38"/>
        <v>91.63</v>
      </c>
      <c r="H66" s="22">
        <f t="shared" si="39"/>
        <v>94.42</v>
      </c>
      <c r="I66" s="28">
        <f t="shared" si="40"/>
        <v>86.5</v>
      </c>
      <c r="J66" s="23" t="s">
        <v>485</v>
      </c>
      <c r="K66" s="23" t="s">
        <v>485</v>
      </c>
      <c r="L66" s="23" t="s">
        <v>485</v>
      </c>
      <c r="M66" s="24">
        <v>100</v>
      </c>
      <c r="N66" s="22">
        <f t="shared" si="41"/>
        <v>91.63</v>
      </c>
      <c r="O66" s="28">
        <f t="shared" si="42"/>
        <v>94.42</v>
      </c>
      <c r="P66" s="28">
        <f t="shared" si="43"/>
        <v>86.5</v>
      </c>
      <c r="Q66" s="23" t="s">
        <v>485</v>
      </c>
      <c r="R66" s="23" t="s">
        <v>485</v>
      </c>
      <c r="S66" s="23" t="s">
        <v>485</v>
      </c>
      <c r="T66" s="23" t="s">
        <v>485</v>
      </c>
      <c r="U66" s="23" t="s">
        <v>485</v>
      </c>
      <c r="V66" s="23" t="s">
        <v>485</v>
      </c>
      <c r="W66" s="23" t="s">
        <v>485</v>
      </c>
      <c r="X66" s="24">
        <v>3</v>
      </c>
      <c r="Y66" s="22">
        <f t="shared" si="44"/>
        <v>2.79</v>
      </c>
      <c r="Z66" s="22">
        <f t="shared" si="45"/>
        <v>1.395</v>
      </c>
      <c r="AA66" s="22">
        <f t="shared" si="46"/>
        <v>2.79</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1.6609736583779939</v>
      </c>
      <c r="AQ66" s="26">
        <f t="shared" si="61"/>
        <v>38.566422487406953</v>
      </c>
      <c r="AR66" s="22">
        <f t="shared" si="62"/>
        <v>33.219473167559876</v>
      </c>
      <c r="AS66" s="22">
        <f t="shared" si="63"/>
        <v>39.495145527165469</v>
      </c>
      <c r="AT66" s="22">
        <f t="shared" si="64"/>
        <v>1.6609736583779939</v>
      </c>
      <c r="AU66" s="23">
        <f t="shared" si="31"/>
        <v>38.566422487406953</v>
      </c>
      <c r="AV66" s="22">
        <f t="shared" si="65"/>
        <v>33.219473167559876</v>
      </c>
      <c r="AW66" s="22">
        <f t="shared" si="66"/>
        <v>39.495145527165469</v>
      </c>
      <c r="AX66" s="23" t="s">
        <v>485</v>
      </c>
      <c r="AY66" s="23" t="s">
        <v>485</v>
      </c>
      <c r="AZ66" s="23" t="s">
        <v>485</v>
      </c>
      <c r="BA66" s="23">
        <f t="shared" si="67"/>
        <v>2602.878291334599</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f t="shared" si="68"/>
        <v>290.025130510547</v>
      </c>
      <c r="CF66" s="22">
        <f t="shared" si="69"/>
        <v>381.655130510547</v>
      </c>
      <c r="CG66" s="23" t="s">
        <v>485</v>
      </c>
      <c r="CH66" s="23" t="s">
        <v>485</v>
      </c>
      <c r="CI66" s="23" t="s">
        <v>485</v>
      </c>
    </row>
    <row r="67" spans="1:87">
      <c r="A67" s="22" t="str">
        <f t="shared" si="2"/>
        <v>PTE100X100X4mm</v>
      </c>
      <c r="B67" s="29">
        <v>12.14</v>
      </c>
      <c r="C67" s="65">
        <f t="shared" si="37"/>
        <v>1397.0094473323115</v>
      </c>
      <c r="D67" s="38" t="s">
        <v>485</v>
      </c>
      <c r="E67" s="23" t="s">
        <v>485</v>
      </c>
      <c r="F67" s="24">
        <v>100</v>
      </c>
      <c r="G67" s="22">
        <f t="shared" si="38"/>
        <v>88.84</v>
      </c>
      <c r="H67" s="22">
        <f t="shared" si="39"/>
        <v>92.56</v>
      </c>
      <c r="I67" s="28">
        <f t="shared" si="40"/>
        <v>82</v>
      </c>
      <c r="J67" s="23" t="s">
        <v>485</v>
      </c>
      <c r="K67" s="23" t="s">
        <v>485</v>
      </c>
      <c r="L67" s="23" t="s">
        <v>485</v>
      </c>
      <c r="M67" s="24">
        <v>100</v>
      </c>
      <c r="N67" s="22">
        <f t="shared" si="41"/>
        <v>88.84</v>
      </c>
      <c r="O67" s="28">
        <f t="shared" si="42"/>
        <v>92.56</v>
      </c>
      <c r="P67" s="28">
        <f t="shared" si="43"/>
        <v>82</v>
      </c>
      <c r="Q67" s="23" t="s">
        <v>485</v>
      </c>
      <c r="R67" s="23" t="s">
        <v>485</v>
      </c>
      <c r="S67" s="23" t="s">
        <v>485</v>
      </c>
      <c r="T67" s="23" t="s">
        <v>485</v>
      </c>
      <c r="U67" s="23" t="s">
        <v>485</v>
      </c>
      <c r="V67" s="23" t="s">
        <v>485</v>
      </c>
      <c r="W67" s="23" t="s">
        <v>485</v>
      </c>
      <c r="X67" s="24">
        <v>4</v>
      </c>
      <c r="Y67" s="22">
        <f t="shared" si="44"/>
        <v>3.72</v>
      </c>
      <c r="Z67" s="22">
        <f t="shared" si="45"/>
        <v>1.86</v>
      </c>
      <c r="AA67" s="22">
        <f t="shared" si="46"/>
        <v>3.72</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2.1301305094313445</v>
      </c>
      <c r="AQ67" s="26">
        <f t="shared" si="61"/>
        <v>49.994494366463158</v>
      </c>
      <c r="AR67" s="22">
        <f t="shared" si="62"/>
        <v>42.60261018862689</v>
      </c>
      <c r="AS67" s="22">
        <f t="shared" si="63"/>
        <v>39.048417207704951</v>
      </c>
      <c r="AT67" s="22">
        <f t="shared" si="64"/>
        <v>2.1301305094313445</v>
      </c>
      <c r="AU67" s="23">
        <f t="shared" ref="AU67:AU81" si="70">(((2/C67)*((0.5*PI()*((AA67+Y67)^2)*(4*(AA67+Y67)/(3*PI())+(M67-2*AA67-2*Y67)*0.5))-(0.5*PI()*(AA67^2)*(4*AA67/(3*PI())+(M67-2*AA67-2*Y67)*0.5))+((F67-2*AA67-2*Y67)*Y67*(0.5*M67-0.5*Y67))+(0.25*Y67*(M67-2*AA67-2*Y67)^2)))*C67)/(10^3)</f>
        <v>49.994494366463158</v>
      </c>
      <c r="AV67" s="22">
        <f t="shared" si="65"/>
        <v>42.60261018862689</v>
      </c>
      <c r="AW67" s="22">
        <f t="shared" si="66"/>
        <v>39.048417207704951</v>
      </c>
      <c r="AX67" s="23" t="s">
        <v>485</v>
      </c>
      <c r="AY67" s="23" t="s">
        <v>485</v>
      </c>
      <c r="AZ67" s="23" t="s">
        <v>485</v>
      </c>
      <c r="BA67" s="23">
        <f t="shared" si="67"/>
        <v>3385.1883332751568</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f t="shared" si="68"/>
        <v>286.70017401406221</v>
      </c>
      <c r="CF67" s="22">
        <f t="shared" si="69"/>
        <v>375.54017401406225</v>
      </c>
      <c r="CG67" s="23" t="s">
        <v>485</v>
      </c>
      <c r="CH67" s="23" t="s">
        <v>485</v>
      </c>
      <c r="CI67" s="23" t="s">
        <v>485</v>
      </c>
    </row>
    <row r="68" spans="1:87">
      <c r="A68" s="22" t="str">
        <f t="shared" ref="A68:A81" si="71">"PTE"&amp;F68&amp;"X"&amp;M68&amp;"X"&amp;X68&amp;"mm"</f>
        <v>PTE100X100X6mm</v>
      </c>
      <c r="B68" s="29">
        <v>17.75</v>
      </c>
      <c r="C68" s="65">
        <f t="shared" si="37"/>
        <v>2027.2712564976982</v>
      </c>
      <c r="D68" s="38" t="s">
        <v>485</v>
      </c>
      <c r="E68" s="23" t="s">
        <v>485</v>
      </c>
      <c r="F68" s="24">
        <v>100</v>
      </c>
      <c r="G68" s="22">
        <f t="shared" si="38"/>
        <v>83.26</v>
      </c>
      <c r="H68" s="22">
        <f t="shared" si="39"/>
        <v>88.84</v>
      </c>
      <c r="I68" s="28">
        <f t="shared" si="40"/>
        <v>73</v>
      </c>
      <c r="J68" s="23" t="s">
        <v>485</v>
      </c>
      <c r="K68" s="23" t="s">
        <v>485</v>
      </c>
      <c r="L68" s="23" t="s">
        <v>485</v>
      </c>
      <c r="M68" s="24">
        <v>100</v>
      </c>
      <c r="N68" s="22">
        <f t="shared" si="41"/>
        <v>83.26</v>
      </c>
      <c r="O68" s="28">
        <f t="shared" si="42"/>
        <v>88.84</v>
      </c>
      <c r="P68" s="28">
        <f t="shared" si="43"/>
        <v>73</v>
      </c>
      <c r="Q68" s="23" t="s">
        <v>485</v>
      </c>
      <c r="R68" s="23" t="s">
        <v>485</v>
      </c>
      <c r="S68" s="23" t="s">
        <v>485</v>
      </c>
      <c r="T68" s="23" t="s">
        <v>485</v>
      </c>
      <c r="U68" s="23" t="s">
        <v>485</v>
      </c>
      <c r="V68" s="23" t="s">
        <v>485</v>
      </c>
      <c r="W68" s="23" t="s">
        <v>485</v>
      </c>
      <c r="X68" s="24">
        <v>6</v>
      </c>
      <c r="Y68" s="22">
        <f t="shared" si="44"/>
        <v>5.58</v>
      </c>
      <c r="Z68" s="22">
        <f t="shared" si="45"/>
        <v>2.79</v>
      </c>
      <c r="AA68" s="22">
        <f t="shared" si="46"/>
        <v>5.58</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2.9503999445665934</v>
      </c>
      <c r="AQ68" s="26">
        <f t="shared" si="61"/>
        <v>70.781457074370678</v>
      </c>
      <c r="AR68" s="22">
        <f t="shared" si="62"/>
        <v>59.007998891331866</v>
      </c>
      <c r="AS68" s="22">
        <f t="shared" si="63"/>
        <v>38.149119106448296</v>
      </c>
      <c r="AT68" s="22">
        <f t="shared" si="64"/>
        <v>2.9503999445665934</v>
      </c>
      <c r="AU68" s="23">
        <f t="shared" si="70"/>
        <v>70.781457074370678</v>
      </c>
      <c r="AV68" s="22">
        <f t="shared" si="65"/>
        <v>59.007998891331866</v>
      </c>
      <c r="AW68" s="22">
        <f t="shared" si="66"/>
        <v>38.149119106448296</v>
      </c>
      <c r="AX68" s="23" t="s">
        <v>485</v>
      </c>
      <c r="AY68" s="23" t="s">
        <v>485</v>
      </c>
      <c r="AZ68" s="23" t="s">
        <v>485</v>
      </c>
      <c r="BA68" s="23">
        <f t="shared" si="67"/>
        <v>4817.187641614184</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f t="shared" si="68"/>
        <v>280.05026102109287</v>
      </c>
      <c r="CF68" s="22">
        <f t="shared" si="69"/>
        <v>363.31026102109286</v>
      </c>
      <c r="CG68" s="23" t="s">
        <v>485</v>
      </c>
      <c r="CH68" s="23" t="s">
        <v>485</v>
      </c>
      <c r="CI68" s="23" t="s">
        <v>485</v>
      </c>
    </row>
    <row r="69" spans="1:87">
      <c r="A69" s="22" t="str">
        <f t="shared" si="71"/>
        <v>PTE135X135X4mm</v>
      </c>
      <c r="B69" s="29">
        <v>16.690000000000001</v>
      </c>
      <c r="C69" s="65">
        <f t="shared" si="37"/>
        <v>1917.809447332309</v>
      </c>
      <c r="D69" s="38" t="s">
        <v>485</v>
      </c>
      <c r="E69" s="23" t="s">
        <v>485</v>
      </c>
      <c r="F69" s="24">
        <v>135</v>
      </c>
      <c r="G69" s="22">
        <f t="shared" si="38"/>
        <v>123.84</v>
      </c>
      <c r="H69" s="22">
        <f t="shared" si="39"/>
        <v>127.56</v>
      </c>
      <c r="I69" s="28">
        <f t="shared" si="40"/>
        <v>117</v>
      </c>
      <c r="J69" s="23" t="s">
        <v>485</v>
      </c>
      <c r="K69" s="23" t="s">
        <v>485</v>
      </c>
      <c r="L69" s="23" t="s">
        <v>485</v>
      </c>
      <c r="M69" s="24">
        <v>135</v>
      </c>
      <c r="N69" s="22">
        <f t="shared" si="41"/>
        <v>123.84</v>
      </c>
      <c r="O69" s="28">
        <f t="shared" si="42"/>
        <v>127.56</v>
      </c>
      <c r="P69" s="28">
        <f t="shared" si="43"/>
        <v>117</v>
      </c>
      <c r="Q69" s="23" t="s">
        <v>485</v>
      </c>
      <c r="R69" s="23" t="s">
        <v>485</v>
      </c>
      <c r="S69" s="23" t="s">
        <v>485</v>
      </c>
      <c r="T69" s="23" t="s">
        <v>485</v>
      </c>
      <c r="U69" s="23" t="s">
        <v>485</v>
      </c>
      <c r="V69" s="23" t="s">
        <v>485</v>
      </c>
      <c r="W69" s="23" t="s">
        <v>485</v>
      </c>
      <c r="X69" s="24">
        <v>4</v>
      </c>
      <c r="Y69" s="22">
        <f t="shared" si="44"/>
        <v>3.72</v>
      </c>
      <c r="Z69" s="22">
        <f t="shared" si="45"/>
        <v>1.86</v>
      </c>
      <c r="AA69" s="22">
        <f t="shared" si="46"/>
        <v>3.72</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5.4566166886230745</v>
      </c>
      <c r="AQ69" s="26">
        <f t="shared" si="61"/>
        <v>93.813315694778609</v>
      </c>
      <c r="AR69" s="22">
        <f t="shared" si="62"/>
        <v>80.83876575737888</v>
      </c>
      <c r="AS69" s="22">
        <f t="shared" si="63"/>
        <v>53.340735115943346</v>
      </c>
      <c r="AT69" s="22">
        <f t="shared" si="64"/>
        <v>5.4566166886230745</v>
      </c>
      <c r="AU69" s="23">
        <f t="shared" si="70"/>
        <v>93.813315694778609</v>
      </c>
      <c r="AV69" s="22">
        <f t="shared" si="65"/>
        <v>80.83876575737888</v>
      </c>
      <c r="AW69" s="22">
        <f t="shared" si="66"/>
        <v>53.340735115943346</v>
      </c>
      <c r="AX69" s="23" t="s">
        <v>485</v>
      </c>
      <c r="AY69" s="23" t="s">
        <v>485</v>
      </c>
      <c r="AZ69" s="23" t="s">
        <v>485</v>
      </c>
      <c r="BA69" s="23">
        <f t="shared" si="67"/>
        <v>8546.4667755905739</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f t="shared" si="68"/>
        <v>391.70017401406153</v>
      </c>
      <c r="CF69" s="22">
        <f t="shared" si="69"/>
        <v>515.54017401406156</v>
      </c>
      <c r="CG69" s="23" t="s">
        <v>485</v>
      </c>
      <c r="CH69" s="23" t="s">
        <v>485</v>
      </c>
      <c r="CI69" s="23" t="s">
        <v>485</v>
      </c>
    </row>
    <row r="70" spans="1:87">
      <c r="A70" s="22" t="str">
        <f t="shared" si="71"/>
        <v>PTE135X135X6mm</v>
      </c>
      <c r="B70" s="29">
        <v>24.58</v>
      </c>
      <c r="C70" s="65">
        <f t="shared" si="37"/>
        <v>2808.4712564976999</v>
      </c>
      <c r="D70" s="38" t="s">
        <v>485</v>
      </c>
      <c r="E70" s="23" t="s">
        <v>485</v>
      </c>
      <c r="F70" s="24">
        <v>135</v>
      </c>
      <c r="G70" s="22">
        <f t="shared" si="38"/>
        <v>118.26</v>
      </c>
      <c r="H70" s="22">
        <f t="shared" si="39"/>
        <v>123.84</v>
      </c>
      <c r="I70" s="28">
        <f t="shared" si="40"/>
        <v>108</v>
      </c>
      <c r="J70" s="23" t="s">
        <v>485</v>
      </c>
      <c r="K70" s="23" t="s">
        <v>485</v>
      </c>
      <c r="L70" s="23" t="s">
        <v>485</v>
      </c>
      <c r="M70" s="24">
        <v>135</v>
      </c>
      <c r="N70" s="22">
        <f t="shared" si="41"/>
        <v>118.26</v>
      </c>
      <c r="O70" s="28">
        <f t="shared" si="42"/>
        <v>123.84</v>
      </c>
      <c r="P70" s="28">
        <f t="shared" si="43"/>
        <v>108</v>
      </c>
      <c r="Q70" s="23" t="s">
        <v>485</v>
      </c>
      <c r="R70" s="23" t="s">
        <v>485</v>
      </c>
      <c r="S70" s="23" t="s">
        <v>485</v>
      </c>
      <c r="T70" s="23" t="s">
        <v>485</v>
      </c>
      <c r="U70" s="23" t="s">
        <v>485</v>
      </c>
      <c r="V70" s="23" t="s">
        <v>485</v>
      </c>
      <c r="W70" s="23" t="s">
        <v>485</v>
      </c>
      <c r="X70" s="24">
        <v>6</v>
      </c>
      <c r="Y70" s="22">
        <f t="shared" si="44"/>
        <v>5.58</v>
      </c>
      <c r="Z70" s="22">
        <f t="shared" si="45"/>
        <v>2.79</v>
      </c>
      <c r="AA70" s="22">
        <f t="shared" si="46"/>
        <v>5.58</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7.7250822337519898</v>
      </c>
      <c r="AQ70" s="26">
        <f t="shared" si="61"/>
        <v>134.95218006308039</v>
      </c>
      <c r="AR70" s="22">
        <f t="shared" si="62"/>
        <v>114.4456627222517</v>
      </c>
      <c r="AS70" s="22">
        <f t="shared" si="63"/>
        <v>52.446506387769972</v>
      </c>
      <c r="AT70" s="22">
        <f t="shared" si="64"/>
        <v>7.7250822337519898</v>
      </c>
      <c r="AU70" s="23">
        <f t="shared" si="70"/>
        <v>134.95218006308039</v>
      </c>
      <c r="AV70" s="22">
        <f t="shared" si="65"/>
        <v>114.4456627222517</v>
      </c>
      <c r="AW70" s="22">
        <f t="shared" si="66"/>
        <v>52.446506387769972</v>
      </c>
      <c r="AX70" s="23" t="s">
        <v>485</v>
      </c>
      <c r="AY70" s="23" t="s">
        <v>485</v>
      </c>
      <c r="AZ70" s="23" t="s">
        <v>485</v>
      </c>
      <c r="BA70" s="23">
        <f t="shared" si="67"/>
        <v>12352.071680431281</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f t="shared" si="68"/>
        <v>385.05026102109315</v>
      </c>
      <c r="CF70" s="22">
        <f t="shared" si="69"/>
        <v>503.31026102109314</v>
      </c>
      <c r="CG70" s="23" t="s">
        <v>485</v>
      </c>
      <c r="CH70" s="23" t="s">
        <v>485</v>
      </c>
      <c r="CI70" s="23" t="s">
        <v>485</v>
      </c>
    </row>
    <row r="71" spans="1:87">
      <c r="A71" s="22" t="str">
        <f t="shared" si="71"/>
        <v>PTE150X150X4mm</v>
      </c>
      <c r="B71" s="29">
        <v>18.579999999999998</v>
      </c>
      <c r="C71" s="65">
        <f t="shared" si="37"/>
        <v>2141.0094473323079</v>
      </c>
      <c r="D71" s="38" t="s">
        <v>485</v>
      </c>
      <c r="E71" s="23" t="s">
        <v>485</v>
      </c>
      <c r="F71" s="24">
        <v>150</v>
      </c>
      <c r="G71" s="22">
        <f t="shared" si="38"/>
        <v>138.84</v>
      </c>
      <c r="H71" s="22">
        <f t="shared" si="39"/>
        <v>142.56</v>
      </c>
      <c r="I71" s="28">
        <f t="shared" si="40"/>
        <v>132</v>
      </c>
      <c r="J71" s="23" t="s">
        <v>485</v>
      </c>
      <c r="K71" s="23" t="s">
        <v>485</v>
      </c>
      <c r="L71" s="23" t="s">
        <v>485</v>
      </c>
      <c r="M71" s="24">
        <v>150</v>
      </c>
      <c r="N71" s="22">
        <f t="shared" si="41"/>
        <v>138.84</v>
      </c>
      <c r="O71" s="28">
        <f t="shared" si="42"/>
        <v>142.56</v>
      </c>
      <c r="P71" s="28">
        <f t="shared" si="43"/>
        <v>132</v>
      </c>
      <c r="Q71" s="23" t="s">
        <v>485</v>
      </c>
      <c r="R71" s="23" t="s">
        <v>485</v>
      </c>
      <c r="S71" s="23" t="s">
        <v>485</v>
      </c>
      <c r="T71" s="23" t="s">
        <v>485</v>
      </c>
      <c r="U71" s="23" t="s">
        <v>485</v>
      </c>
      <c r="V71" s="23" t="s">
        <v>485</v>
      </c>
      <c r="W71" s="23" t="s">
        <v>485</v>
      </c>
      <c r="X71" s="24">
        <v>4</v>
      </c>
      <c r="Y71" s="22">
        <f t="shared" si="44"/>
        <v>3.72</v>
      </c>
      <c r="Z71" s="22">
        <f t="shared" si="45"/>
        <v>1.86</v>
      </c>
      <c r="AA71" s="22">
        <f t="shared" si="46"/>
        <v>3.72</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7.5709140939371879</v>
      </c>
      <c r="AQ71" s="26">
        <f t="shared" si="61"/>
        <v>116.77781054977095</v>
      </c>
      <c r="AR71" s="22">
        <f t="shared" si="62"/>
        <v>100.94552125249585</v>
      </c>
      <c r="AS71" s="22">
        <f t="shared" si="63"/>
        <v>59.465471582432677</v>
      </c>
      <c r="AT71" s="22">
        <f t="shared" si="64"/>
        <v>7.5709140939371879</v>
      </c>
      <c r="AU71" s="23">
        <f t="shared" si="70"/>
        <v>116.77781054977095</v>
      </c>
      <c r="AV71" s="22">
        <f t="shared" si="65"/>
        <v>100.94552125249585</v>
      </c>
      <c r="AW71" s="22">
        <f t="shared" si="66"/>
        <v>59.465471582432677</v>
      </c>
      <c r="AX71" s="23" t="s">
        <v>485</v>
      </c>
      <c r="AY71" s="23" t="s">
        <v>485</v>
      </c>
      <c r="AZ71" s="23" t="s">
        <v>485</v>
      </c>
      <c r="BA71" s="23">
        <f t="shared" si="67"/>
        <v>11808.139485637403</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f t="shared" si="68"/>
        <v>436.70017401406119</v>
      </c>
      <c r="CF71" s="22">
        <f t="shared" si="69"/>
        <v>575.54017401406122</v>
      </c>
      <c r="CG71" s="23" t="s">
        <v>485</v>
      </c>
      <c r="CH71" s="23" t="s">
        <v>485</v>
      </c>
      <c r="CI71" s="23" t="s">
        <v>485</v>
      </c>
    </row>
    <row r="72" spans="1:87">
      <c r="A72" s="22" t="str">
        <f t="shared" si="71"/>
        <v>PTE150X150X6mm</v>
      </c>
      <c r="B72" s="29">
        <v>27.41</v>
      </c>
      <c r="C72" s="65">
        <f t="shared" si="37"/>
        <v>3143.271256497701</v>
      </c>
      <c r="D72" s="38" t="s">
        <v>485</v>
      </c>
      <c r="E72" s="23" t="s">
        <v>485</v>
      </c>
      <c r="F72" s="24">
        <v>150</v>
      </c>
      <c r="G72" s="22">
        <f t="shared" si="38"/>
        <v>133.26</v>
      </c>
      <c r="H72" s="22">
        <f t="shared" si="39"/>
        <v>138.84</v>
      </c>
      <c r="I72" s="28">
        <f t="shared" si="40"/>
        <v>123</v>
      </c>
      <c r="J72" s="23" t="s">
        <v>485</v>
      </c>
      <c r="K72" s="23" t="s">
        <v>485</v>
      </c>
      <c r="L72" s="23" t="s">
        <v>485</v>
      </c>
      <c r="M72" s="24">
        <v>150</v>
      </c>
      <c r="N72" s="22">
        <f t="shared" si="41"/>
        <v>133.26</v>
      </c>
      <c r="O72" s="28">
        <f t="shared" si="42"/>
        <v>138.84</v>
      </c>
      <c r="P72" s="28">
        <f t="shared" si="43"/>
        <v>123</v>
      </c>
      <c r="Q72" s="23" t="s">
        <v>485</v>
      </c>
      <c r="R72" s="23" t="s">
        <v>485</v>
      </c>
      <c r="S72" s="23" t="s">
        <v>485</v>
      </c>
      <c r="T72" s="23" t="s">
        <v>485</v>
      </c>
      <c r="U72" s="23" t="s">
        <v>485</v>
      </c>
      <c r="V72" s="23" t="s">
        <v>485</v>
      </c>
      <c r="W72" s="23" t="s">
        <v>485</v>
      </c>
      <c r="X72" s="24">
        <v>6</v>
      </c>
      <c r="Y72" s="22">
        <f t="shared" si="44"/>
        <v>5.58</v>
      </c>
      <c r="Z72" s="22">
        <f t="shared" si="45"/>
        <v>2.79</v>
      </c>
      <c r="AA72" s="22">
        <f t="shared" si="46"/>
        <v>5.58</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10.783785703996189</v>
      </c>
      <c r="AQ72" s="26">
        <f t="shared" si="61"/>
        <v>168.73141848681314</v>
      </c>
      <c r="AR72" s="22">
        <f t="shared" si="62"/>
        <v>143.78380938661584</v>
      </c>
      <c r="AS72" s="22">
        <f t="shared" si="63"/>
        <v>58.572625811557451</v>
      </c>
      <c r="AT72" s="22">
        <f t="shared" si="64"/>
        <v>10.783785703996189</v>
      </c>
      <c r="AU72" s="23">
        <f t="shared" si="70"/>
        <v>168.73141848681314</v>
      </c>
      <c r="AV72" s="22">
        <f t="shared" si="65"/>
        <v>143.78380938661584</v>
      </c>
      <c r="AW72" s="22">
        <f t="shared" si="66"/>
        <v>58.572625811557451</v>
      </c>
      <c r="AX72" s="23" t="s">
        <v>485</v>
      </c>
      <c r="AY72" s="23" t="s">
        <v>485</v>
      </c>
      <c r="AZ72" s="23" t="s">
        <v>485</v>
      </c>
      <c r="BA72" s="23">
        <f t="shared" si="67"/>
        <v>17137.51593720547</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f t="shared" si="68"/>
        <v>430.05026102109332</v>
      </c>
      <c r="CF72" s="22">
        <f t="shared" si="69"/>
        <v>563.31026102109331</v>
      </c>
      <c r="CG72" s="23" t="s">
        <v>485</v>
      </c>
      <c r="CH72" s="23" t="s">
        <v>485</v>
      </c>
      <c r="CI72" s="23" t="s">
        <v>485</v>
      </c>
    </row>
    <row r="73" spans="1:87">
      <c r="A73" s="22" t="str">
        <f t="shared" si="71"/>
        <v>PTE200X200X5mm</v>
      </c>
      <c r="B73" s="29">
        <v>30.88</v>
      </c>
      <c r="C73" s="65">
        <f t="shared" si="37"/>
        <v>3577.8272614567322</v>
      </c>
      <c r="D73" s="38" t="s">
        <v>485</v>
      </c>
      <c r="E73" s="23" t="s">
        <v>485</v>
      </c>
      <c r="F73" s="24">
        <v>200</v>
      </c>
      <c r="G73" s="22">
        <f t="shared" si="38"/>
        <v>186.04999999999998</v>
      </c>
      <c r="H73" s="22">
        <f t="shared" si="39"/>
        <v>190.7</v>
      </c>
      <c r="I73" s="28">
        <f t="shared" si="40"/>
        <v>177.5</v>
      </c>
      <c r="J73" s="23" t="s">
        <v>485</v>
      </c>
      <c r="K73" s="23" t="s">
        <v>485</v>
      </c>
      <c r="L73" s="23" t="s">
        <v>485</v>
      </c>
      <c r="M73" s="24">
        <v>200</v>
      </c>
      <c r="N73" s="22">
        <f t="shared" si="41"/>
        <v>186.04999999999998</v>
      </c>
      <c r="O73" s="28">
        <f t="shared" si="42"/>
        <v>190.7</v>
      </c>
      <c r="P73" s="28">
        <f t="shared" si="43"/>
        <v>177.5</v>
      </c>
      <c r="Q73" s="23" t="s">
        <v>485</v>
      </c>
      <c r="R73" s="23" t="s">
        <v>485</v>
      </c>
      <c r="S73" s="23" t="s">
        <v>485</v>
      </c>
      <c r="T73" s="23" t="s">
        <v>485</v>
      </c>
      <c r="U73" s="23" t="s">
        <v>485</v>
      </c>
      <c r="V73" s="23" t="s">
        <v>485</v>
      </c>
      <c r="W73" s="23" t="s">
        <v>485</v>
      </c>
      <c r="X73" s="24">
        <v>5</v>
      </c>
      <c r="Y73" s="22">
        <f t="shared" si="44"/>
        <v>4.6500000000000004</v>
      </c>
      <c r="Z73" s="22">
        <f t="shared" si="45"/>
        <v>2.3250000000000002</v>
      </c>
      <c r="AA73" s="22">
        <f t="shared" si="46"/>
        <v>4.6500000000000004</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22.576169892427281</v>
      </c>
      <c r="AQ73" s="26">
        <f t="shared" si="61"/>
        <v>260.70795661412592</v>
      </c>
      <c r="AR73" s="22">
        <f t="shared" si="62"/>
        <v>225.76169892427282</v>
      </c>
      <c r="AS73" s="22">
        <f t="shared" si="63"/>
        <v>79.435648951467968</v>
      </c>
      <c r="AT73" s="22">
        <f t="shared" si="64"/>
        <v>22.576169892427281</v>
      </c>
      <c r="AU73" s="23">
        <f t="shared" si="70"/>
        <v>260.70795661412592</v>
      </c>
      <c r="AV73" s="22">
        <f t="shared" si="65"/>
        <v>225.76169892427282</v>
      </c>
      <c r="AW73" s="22">
        <f t="shared" si="66"/>
        <v>79.435648951467968</v>
      </c>
      <c r="AX73" s="23" t="s">
        <v>485</v>
      </c>
      <c r="AY73" s="23" t="s">
        <v>485</v>
      </c>
      <c r="AZ73" s="23" t="s">
        <v>485</v>
      </c>
      <c r="BA73" s="23">
        <f t="shared" si="67"/>
        <v>35127.652861692914</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f t="shared" si="68"/>
        <v>583.37521751757686</v>
      </c>
      <c r="CF73" s="22">
        <f t="shared" si="69"/>
        <v>769.42521751757681</v>
      </c>
      <c r="CG73" s="23" t="s">
        <v>485</v>
      </c>
      <c r="CH73" s="23" t="s">
        <v>485</v>
      </c>
      <c r="CI73" s="23" t="s">
        <v>485</v>
      </c>
    </row>
    <row r="74" spans="1:87">
      <c r="A74" s="22" t="str">
        <f t="shared" si="71"/>
        <v>PTE200X200X7mm</v>
      </c>
      <c r="B74" s="29">
        <v>42.7</v>
      </c>
      <c r="C74" s="65">
        <f t="shared" si="37"/>
        <v>4929.3414324552141</v>
      </c>
      <c r="D74" s="38" t="s">
        <v>485</v>
      </c>
      <c r="E74" s="23" t="s">
        <v>485</v>
      </c>
      <c r="F74" s="24">
        <v>200</v>
      </c>
      <c r="G74" s="22">
        <f t="shared" si="38"/>
        <v>180.47</v>
      </c>
      <c r="H74" s="22">
        <f t="shared" si="39"/>
        <v>186.98</v>
      </c>
      <c r="I74" s="28">
        <f t="shared" si="40"/>
        <v>168.5</v>
      </c>
      <c r="J74" s="23" t="s">
        <v>485</v>
      </c>
      <c r="K74" s="23" t="s">
        <v>485</v>
      </c>
      <c r="L74" s="23" t="s">
        <v>485</v>
      </c>
      <c r="M74" s="24">
        <v>200</v>
      </c>
      <c r="N74" s="22">
        <f t="shared" si="41"/>
        <v>180.47</v>
      </c>
      <c r="O74" s="28">
        <f t="shared" si="42"/>
        <v>186.98</v>
      </c>
      <c r="P74" s="28">
        <f t="shared" si="43"/>
        <v>168.5</v>
      </c>
      <c r="Q74" s="23" t="s">
        <v>485</v>
      </c>
      <c r="R74" s="23" t="s">
        <v>485</v>
      </c>
      <c r="S74" s="23" t="s">
        <v>485</v>
      </c>
      <c r="T74" s="23" t="s">
        <v>485</v>
      </c>
      <c r="U74" s="23" t="s">
        <v>485</v>
      </c>
      <c r="V74" s="23" t="s">
        <v>485</v>
      </c>
      <c r="W74" s="23" t="s">
        <v>485</v>
      </c>
      <c r="X74" s="24">
        <v>7</v>
      </c>
      <c r="Y74" s="22">
        <f t="shared" si="44"/>
        <v>6.5100000000000007</v>
      </c>
      <c r="Z74" s="22">
        <f t="shared" si="45"/>
        <v>3.2550000000000003</v>
      </c>
      <c r="AA74" s="22">
        <f t="shared" si="46"/>
        <v>6.5100000000000007</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30.409917144024075</v>
      </c>
      <c r="AQ74" s="26">
        <f t="shared" si="61"/>
        <v>354.94338365095354</v>
      </c>
      <c r="AR74" s="22">
        <f t="shared" si="62"/>
        <v>304.09917144024075</v>
      </c>
      <c r="AS74" s="22">
        <f t="shared" si="63"/>
        <v>78.544027724309728</v>
      </c>
      <c r="AT74" s="22">
        <f t="shared" si="64"/>
        <v>30.409917144024075</v>
      </c>
      <c r="AU74" s="23">
        <f t="shared" si="70"/>
        <v>354.94338365095354</v>
      </c>
      <c r="AV74" s="22">
        <f t="shared" si="65"/>
        <v>304.09917144024075</v>
      </c>
      <c r="AW74" s="22">
        <f t="shared" si="66"/>
        <v>78.544027724309728</v>
      </c>
      <c r="AX74" s="23" t="s">
        <v>485</v>
      </c>
      <c r="AY74" s="23" t="s">
        <v>485</v>
      </c>
      <c r="AZ74" s="23" t="s">
        <v>485</v>
      </c>
      <c r="BA74" s="23">
        <f t="shared" si="67"/>
        <v>47991.689873930714</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f t="shared" si="68"/>
        <v>576.72530452461035</v>
      </c>
      <c r="CF74" s="22">
        <f t="shared" si="69"/>
        <v>757.19530452461038</v>
      </c>
      <c r="CG74" s="23" t="s">
        <v>485</v>
      </c>
      <c r="CH74" s="23" t="s">
        <v>485</v>
      </c>
      <c r="CI74" s="23" t="s">
        <v>485</v>
      </c>
    </row>
    <row r="75" spans="1:87">
      <c r="A75" s="22" t="str">
        <f t="shared" si="71"/>
        <v>PTE250X250X9mm</v>
      </c>
      <c r="B75" s="29">
        <v>68.34</v>
      </c>
      <c r="C75" s="65">
        <f t="shared" si="37"/>
        <v>7909.3603271198299</v>
      </c>
      <c r="D75" s="38" t="s">
        <v>485</v>
      </c>
      <c r="E75" s="23" t="s">
        <v>485</v>
      </c>
      <c r="F75" s="24">
        <v>250</v>
      </c>
      <c r="G75" s="22">
        <f t="shared" si="38"/>
        <v>224.89</v>
      </c>
      <c r="H75" s="22">
        <f t="shared" si="39"/>
        <v>233.26</v>
      </c>
      <c r="I75" s="28">
        <f t="shared" si="40"/>
        <v>209.5</v>
      </c>
      <c r="J75" s="23" t="s">
        <v>485</v>
      </c>
      <c r="K75" s="23" t="s">
        <v>485</v>
      </c>
      <c r="L75" s="23" t="s">
        <v>485</v>
      </c>
      <c r="M75" s="24">
        <v>250</v>
      </c>
      <c r="N75" s="22">
        <f t="shared" si="41"/>
        <v>224.89</v>
      </c>
      <c r="O75" s="28">
        <f t="shared" si="42"/>
        <v>233.26</v>
      </c>
      <c r="P75" s="28">
        <f t="shared" si="43"/>
        <v>209.5</v>
      </c>
      <c r="Q75" s="23" t="s">
        <v>485</v>
      </c>
      <c r="R75" s="23" t="s">
        <v>485</v>
      </c>
      <c r="S75" s="23" t="s">
        <v>485</v>
      </c>
      <c r="T75" s="23" t="s">
        <v>485</v>
      </c>
      <c r="U75" s="23" t="s">
        <v>485</v>
      </c>
      <c r="V75" s="23" t="s">
        <v>485</v>
      </c>
      <c r="W75" s="23" t="s">
        <v>485</v>
      </c>
      <c r="X75" s="24">
        <v>9</v>
      </c>
      <c r="Y75" s="22">
        <f t="shared" si="44"/>
        <v>8.370000000000001</v>
      </c>
      <c r="Z75" s="22">
        <f t="shared" si="45"/>
        <v>4.1850000000000005</v>
      </c>
      <c r="AA75" s="22">
        <f t="shared" si="46"/>
        <v>8.370000000000001</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76.067461549968058</v>
      </c>
      <c r="AQ75" s="26">
        <f t="shared" si="61"/>
        <v>711.04974398199215</v>
      </c>
      <c r="AR75" s="22">
        <f t="shared" si="62"/>
        <v>608.53969239974458</v>
      </c>
      <c r="AS75" s="22">
        <f t="shared" si="63"/>
        <v>98.068330327288564</v>
      </c>
      <c r="AT75" s="22">
        <f t="shared" si="64"/>
        <v>76.067461549968058</v>
      </c>
      <c r="AU75" s="23">
        <f t="shared" si="70"/>
        <v>711.04974398199215</v>
      </c>
      <c r="AV75" s="22">
        <f t="shared" si="65"/>
        <v>608.53969239974458</v>
      </c>
      <c r="AW75" s="22">
        <f t="shared" si="66"/>
        <v>98.068330327288564</v>
      </c>
      <c r="AX75" s="23" t="s">
        <v>485</v>
      </c>
      <c r="AY75" s="23" t="s">
        <v>485</v>
      </c>
      <c r="AZ75" s="23" t="s">
        <v>485</v>
      </c>
      <c r="BA75" s="23">
        <f t="shared" si="67"/>
        <v>120214.71898449487</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f t="shared" si="68"/>
        <v>720.07539153164032</v>
      </c>
      <c r="CF75" s="22">
        <f t="shared" si="69"/>
        <v>944.96539153164031</v>
      </c>
      <c r="CG75" s="23" t="s">
        <v>485</v>
      </c>
      <c r="CH75" s="23" t="s">
        <v>485</v>
      </c>
      <c r="CI75" s="23" t="s">
        <v>485</v>
      </c>
    </row>
    <row r="76" spans="1:87">
      <c r="A76" s="22" t="str">
        <f t="shared" si="71"/>
        <v>PTE300X300X10mm</v>
      </c>
      <c r="B76" s="29">
        <v>91.25</v>
      </c>
      <c r="C76" s="65">
        <f t="shared" si="37"/>
        <v>10591.309045826958</v>
      </c>
      <c r="D76" s="38" t="s">
        <v>485</v>
      </c>
      <c r="E76" s="23" t="s">
        <v>485</v>
      </c>
      <c r="F76" s="24">
        <v>300</v>
      </c>
      <c r="G76" s="22">
        <f t="shared" si="38"/>
        <v>272.09999999999997</v>
      </c>
      <c r="H76" s="22">
        <f t="shared" si="39"/>
        <v>281.39999999999998</v>
      </c>
      <c r="I76" s="28">
        <f t="shared" si="40"/>
        <v>255</v>
      </c>
      <c r="J76" s="23" t="s">
        <v>485</v>
      </c>
      <c r="K76" s="23" t="s">
        <v>485</v>
      </c>
      <c r="L76" s="23" t="s">
        <v>485</v>
      </c>
      <c r="M76" s="24">
        <v>300</v>
      </c>
      <c r="N76" s="22">
        <f t="shared" si="41"/>
        <v>272.09999999999997</v>
      </c>
      <c r="O76" s="28">
        <f t="shared" si="42"/>
        <v>281.39999999999998</v>
      </c>
      <c r="P76" s="28">
        <f t="shared" si="43"/>
        <v>255</v>
      </c>
      <c r="Q76" s="23" t="s">
        <v>485</v>
      </c>
      <c r="R76" s="23" t="s">
        <v>485</v>
      </c>
      <c r="S76" s="23" t="s">
        <v>485</v>
      </c>
      <c r="T76" s="23" t="s">
        <v>485</v>
      </c>
      <c r="U76" s="23" t="s">
        <v>485</v>
      </c>
      <c r="V76" s="23" t="s">
        <v>485</v>
      </c>
      <c r="W76" s="23" t="s">
        <v>485</v>
      </c>
      <c r="X76" s="24">
        <v>10</v>
      </c>
      <c r="Y76" s="22">
        <f t="shared" si="44"/>
        <v>9.3000000000000007</v>
      </c>
      <c r="Z76" s="22">
        <f t="shared" si="45"/>
        <v>4.6500000000000004</v>
      </c>
      <c r="AA76" s="22">
        <f t="shared" si="46"/>
        <v>9.3000000000000007</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147.57170180210298</v>
      </c>
      <c r="AQ76" s="26">
        <f t="shared" si="61"/>
        <v>1146.2472006216603</v>
      </c>
      <c r="AR76" s="22">
        <f t="shared" si="62"/>
        <v>983.81134534735327</v>
      </c>
      <c r="AS76" s="22">
        <f t="shared" si="63"/>
        <v>118.03932640264864</v>
      </c>
      <c r="AT76" s="22">
        <f t="shared" si="64"/>
        <v>147.57170180210298</v>
      </c>
      <c r="AU76" s="23">
        <f t="shared" si="70"/>
        <v>1146.2472006216603</v>
      </c>
      <c r="AV76" s="22">
        <f t="shared" si="65"/>
        <v>983.81134534735327</v>
      </c>
      <c r="AW76" s="22">
        <f t="shared" si="66"/>
        <v>118.03932640264864</v>
      </c>
      <c r="AX76" s="23" t="s">
        <v>485</v>
      </c>
      <c r="AY76" s="23" t="s">
        <v>485</v>
      </c>
      <c r="AZ76" s="23" t="s">
        <v>485</v>
      </c>
      <c r="BA76" s="23">
        <f t="shared" si="67"/>
        <v>232347.33328121432</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f t="shared" si="68"/>
        <v>866.75043503515667</v>
      </c>
      <c r="CF76" s="22">
        <f t="shared" si="69"/>
        <v>1138.8504350351566</v>
      </c>
      <c r="CG76" s="23" t="s">
        <v>485</v>
      </c>
      <c r="CH76" s="23" t="s">
        <v>485</v>
      </c>
      <c r="CI76" s="23" t="s">
        <v>485</v>
      </c>
    </row>
    <row r="77" spans="1:87">
      <c r="A77" s="22" t="str">
        <f t="shared" si="71"/>
        <v>PTEXXmm</v>
      </c>
      <c r="B77" s="29"/>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70"/>
        <v>#DIV/0!</v>
      </c>
      <c r="AV77" s="22" t="e">
        <f t="shared" si="65"/>
        <v>#DIV/0!</v>
      </c>
      <c r="AW77" s="22" t="e">
        <f t="shared" si="66"/>
        <v>#DIV/0!</v>
      </c>
      <c r="AX77" s="23" t="s">
        <v>485</v>
      </c>
      <c r="AY77" s="23" t="s">
        <v>485</v>
      </c>
      <c r="AZ77" s="23" t="s">
        <v>485</v>
      </c>
      <c r="BA77" s="23" t="e">
        <f t="shared" si="67"/>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8"/>
        <v>#DIV/0!</v>
      </c>
      <c r="CF77" s="22" t="e">
        <f t="shared" si="69"/>
        <v>#DIV/0!</v>
      </c>
      <c r="CG77" s="23" t="s">
        <v>485</v>
      </c>
      <c r="CH77" s="23" t="s">
        <v>485</v>
      </c>
      <c r="CI77" s="23" t="s">
        <v>485</v>
      </c>
    </row>
    <row r="78" spans="1:87">
      <c r="A78" s="22" t="str">
        <f t="shared" si="71"/>
        <v>PTEXXmm</v>
      </c>
      <c r="B78" s="29"/>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70"/>
        <v>#DIV/0!</v>
      </c>
      <c r="AV78" s="22" t="e">
        <f t="shared" si="65"/>
        <v>#DIV/0!</v>
      </c>
      <c r="AW78" s="22" t="e">
        <f t="shared" si="66"/>
        <v>#DIV/0!</v>
      </c>
      <c r="AX78" s="23" t="s">
        <v>485</v>
      </c>
      <c r="AY78" s="23" t="s">
        <v>485</v>
      </c>
      <c r="AZ78" s="23" t="s">
        <v>485</v>
      </c>
      <c r="BA78" s="23" t="e">
        <f t="shared" si="67"/>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8"/>
        <v>#DIV/0!</v>
      </c>
      <c r="CF78" s="22" t="e">
        <f t="shared" si="69"/>
        <v>#DIV/0!</v>
      </c>
      <c r="CG78" s="23" t="s">
        <v>485</v>
      </c>
      <c r="CH78" s="23" t="s">
        <v>485</v>
      </c>
      <c r="CI78" s="23" t="s">
        <v>485</v>
      </c>
    </row>
    <row r="79" spans="1:87">
      <c r="A79" s="22" t="str">
        <f t="shared" si="71"/>
        <v>PTEXXmm</v>
      </c>
      <c r="B79" s="29"/>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70"/>
        <v>#DIV/0!</v>
      </c>
      <c r="AV79" s="22" t="e">
        <f t="shared" si="65"/>
        <v>#DIV/0!</v>
      </c>
      <c r="AW79" s="22" t="e">
        <f t="shared" si="66"/>
        <v>#DIV/0!</v>
      </c>
      <c r="AX79" s="23" t="s">
        <v>485</v>
      </c>
      <c r="AY79" s="23" t="s">
        <v>485</v>
      </c>
      <c r="AZ79" s="23" t="s">
        <v>485</v>
      </c>
      <c r="BA79" s="23" t="e">
        <f t="shared" si="67"/>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8"/>
        <v>#DIV/0!</v>
      </c>
      <c r="CF79" s="22" t="e">
        <f t="shared" si="69"/>
        <v>#DIV/0!</v>
      </c>
      <c r="CG79" s="23" t="s">
        <v>485</v>
      </c>
      <c r="CH79" s="23" t="s">
        <v>485</v>
      </c>
      <c r="CI79" s="23" t="s">
        <v>485</v>
      </c>
    </row>
    <row r="80" spans="1:87">
      <c r="A80" s="22" t="str">
        <f t="shared" si="71"/>
        <v>PTEXXmm</v>
      </c>
      <c r="B80" s="29"/>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70"/>
        <v>#DIV/0!</v>
      </c>
      <c r="AV80" s="22" t="e">
        <f t="shared" si="65"/>
        <v>#DIV/0!</v>
      </c>
      <c r="AW80" s="22" t="e">
        <f t="shared" si="66"/>
        <v>#DIV/0!</v>
      </c>
      <c r="AX80" s="23" t="s">
        <v>485</v>
      </c>
      <c r="AY80" s="23" t="s">
        <v>485</v>
      </c>
      <c r="AZ80" s="23" t="s">
        <v>485</v>
      </c>
      <c r="BA80" s="23" t="e">
        <f t="shared" si="67"/>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8"/>
        <v>#DIV/0!</v>
      </c>
      <c r="CF80" s="22" t="e">
        <f t="shared" si="69"/>
        <v>#DIV/0!</v>
      </c>
      <c r="CG80" s="23" t="s">
        <v>485</v>
      </c>
      <c r="CH80" s="23" t="s">
        <v>485</v>
      </c>
      <c r="CI80" s="23" t="s">
        <v>485</v>
      </c>
    </row>
    <row r="81" spans="1:87">
      <c r="A81" s="22" t="str">
        <f t="shared" si="71"/>
        <v>PTEXXmm</v>
      </c>
      <c r="B81" s="29"/>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70"/>
        <v>#DIV/0!</v>
      </c>
      <c r="AV81" s="22" t="e">
        <f t="shared" si="65"/>
        <v>#DIV/0!</v>
      </c>
      <c r="AW81" s="22" t="e">
        <f t="shared" si="66"/>
        <v>#DIV/0!</v>
      </c>
      <c r="AX81" s="23" t="s">
        <v>485</v>
      </c>
      <c r="AY81" s="23" t="s">
        <v>485</v>
      </c>
      <c r="AZ81" s="23" t="s">
        <v>485</v>
      </c>
      <c r="BA81" s="23" t="e">
        <f t="shared" si="67"/>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8"/>
        <v>#DIV/0!</v>
      </c>
      <c r="CF81" s="22" t="e">
        <f t="shared" si="69"/>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zoomScaleNormal="100" workbookViewId="0">
      <selection activeCell="B26" sqref="B26"/>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5" width="8.7265625" style="25"/>
    <col min="16" max="16" width="10.54296875" style="25" bestFit="1" customWidth="1"/>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5" width="12.7265625" style="25" customWidth="1"/>
    <col min="26" max="26" width="10.81640625" style="25" bestFit="1" customWidth="1"/>
    <col min="27" max="39" width="8.7265625" style="25"/>
    <col min="40" max="40" width="10.54296875" style="25" bestFit="1" customWidth="1"/>
    <col min="41" max="43" width="8.7265625" style="25"/>
    <col min="44" max="44" width="10.54296875" style="25" bestFit="1" customWidth="1"/>
    <col min="45" max="50" width="8.7265625" style="25"/>
    <col min="51" max="51" width="10.54296875" style="25" bestFit="1" customWidth="1"/>
    <col min="52" max="16384" width="8.7265625" style="25"/>
  </cols>
  <sheetData>
    <row r="1" spans="1:85" s="3" customFormat="1" ht="15" customHeight="1">
      <c r="A1" s="67" t="s">
        <v>0</v>
      </c>
      <c r="B1" s="67" t="s">
        <v>307</v>
      </c>
      <c r="C1" s="68" t="s">
        <v>298</v>
      </c>
      <c r="D1" s="67" t="s">
        <v>310</v>
      </c>
      <c r="E1" s="67" t="s">
        <v>1188</v>
      </c>
      <c r="F1" s="67" t="s">
        <v>314</v>
      </c>
      <c r="G1" s="67" t="s">
        <v>316</v>
      </c>
      <c r="H1" s="67" t="s">
        <v>1346</v>
      </c>
      <c r="I1" s="67" t="s">
        <v>1348</v>
      </c>
      <c r="J1" s="67" t="s">
        <v>318</v>
      </c>
      <c r="K1" s="67" t="s">
        <v>1189</v>
      </c>
      <c r="L1" s="67" t="s">
        <v>1190</v>
      </c>
      <c r="M1" s="67" t="s">
        <v>324</v>
      </c>
      <c r="N1" s="67" t="s">
        <v>326</v>
      </c>
      <c r="O1" s="67" t="s">
        <v>1347</v>
      </c>
      <c r="P1" s="67" t="s">
        <v>1349</v>
      </c>
      <c r="Q1" s="67" t="s">
        <v>328</v>
      </c>
      <c r="R1" s="67" t="s">
        <v>1191</v>
      </c>
      <c r="S1" s="67" t="s">
        <v>1192</v>
      </c>
      <c r="T1" s="67" t="s">
        <v>1193</v>
      </c>
      <c r="U1" s="67" t="s">
        <v>1223</v>
      </c>
      <c r="V1" s="67" t="s">
        <v>1224</v>
      </c>
      <c r="W1" s="67" t="s">
        <v>340</v>
      </c>
      <c r="X1" s="67" t="s">
        <v>1225</v>
      </c>
      <c r="Y1" s="67" t="s">
        <v>1226</v>
      </c>
      <c r="Z1" s="67" t="s">
        <v>1227</v>
      </c>
      <c r="AA1" s="67" t="s">
        <v>1228</v>
      </c>
      <c r="AB1" s="67" t="s">
        <v>1229</v>
      </c>
      <c r="AC1" s="67" t="s">
        <v>352</v>
      </c>
      <c r="AD1" s="67" t="s">
        <v>354</v>
      </c>
      <c r="AE1" s="67" t="s">
        <v>1230</v>
      </c>
      <c r="AF1" s="67" t="s">
        <v>1231</v>
      </c>
      <c r="AG1" s="67" t="s">
        <v>1232</v>
      </c>
      <c r="AH1" s="67" t="s">
        <v>1233</v>
      </c>
      <c r="AI1" s="67" t="s">
        <v>364</v>
      </c>
      <c r="AJ1" s="67" t="s">
        <v>1234</v>
      </c>
      <c r="AK1" s="67" t="s">
        <v>1235</v>
      </c>
      <c r="AL1" s="67" t="s">
        <v>1236</v>
      </c>
      <c r="AM1" s="67" t="s">
        <v>372</v>
      </c>
      <c r="AN1" s="67" t="s">
        <v>1237</v>
      </c>
      <c r="AO1" s="67" t="s">
        <v>1238</v>
      </c>
      <c r="AP1" s="67" t="s">
        <v>1239</v>
      </c>
      <c r="AQ1" s="67" t="s">
        <v>1240</v>
      </c>
      <c r="AR1" s="67" t="s">
        <v>1241</v>
      </c>
      <c r="AS1" s="67" t="s">
        <v>1242</v>
      </c>
      <c r="AT1" s="67" t="s">
        <v>1243</v>
      </c>
      <c r="AU1" s="67" t="s">
        <v>1244</v>
      </c>
      <c r="AV1" s="67" t="s">
        <v>1245</v>
      </c>
      <c r="AW1" s="67" t="s">
        <v>1246</v>
      </c>
      <c r="AX1" s="67" t="s">
        <v>1247</v>
      </c>
      <c r="AY1" s="67" t="s">
        <v>396</v>
      </c>
      <c r="AZ1" s="67" t="s">
        <v>1248</v>
      </c>
      <c r="BA1" s="67" t="s">
        <v>400</v>
      </c>
      <c r="BB1" s="67" t="s">
        <v>1249</v>
      </c>
      <c r="BC1" s="67" t="s">
        <v>1250</v>
      </c>
      <c r="BD1" s="67" t="s">
        <v>1251</v>
      </c>
      <c r="BE1" s="67" t="s">
        <v>1252</v>
      </c>
      <c r="BF1" s="67" t="s">
        <v>1253</v>
      </c>
      <c r="BG1" s="67" t="s">
        <v>1</v>
      </c>
      <c r="BH1" s="67" t="s">
        <v>1254</v>
      </c>
      <c r="BI1" s="67" t="s">
        <v>291</v>
      </c>
      <c r="BJ1" s="67" t="s">
        <v>418</v>
      </c>
      <c r="BK1" s="67" t="s">
        <v>1255</v>
      </c>
      <c r="BL1" s="67" t="s">
        <v>1256</v>
      </c>
      <c r="BM1" s="67" t="s">
        <v>1257</v>
      </c>
      <c r="BN1" s="67" t="s">
        <v>1258</v>
      </c>
      <c r="BO1" s="67" t="s">
        <v>1259</v>
      </c>
      <c r="BP1" s="67" t="s">
        <v>1260</v>
      </c>
      <c r="BQ1" s="67" t="s">
        <v>1261</v>
      </c>
      <c r="BR1" s="67" t="s">
        <v>1262</v>
      </c>
      <c r="BS1" s="67" t="s">
        <v>1263</v>
      </c>
      <c r="BT1" s="67" t="s">
        <v>1264</v>
      </c>
      <c r="BU1" s="67" t="s">
        <v>1265</v>
      </c>
      <c r="BV1" s="67" t="s">
        <v>1266</v>
      </c>
      <c r="BW1" s="67" t="s">
        <v>1267</v>
      </c>
      <c r="BX1" s="67" t="s">
        <v>1268</v>
      </c>
      <c r="BY1" s="67" t="s">
        <v>1269</v>
      </c>
      <c r="BZ1" s="67" t="s">
        <v>1270</v>
      </c>
      <c r="CA1" s="67" t="s">
        <v>1271</v>
      </c>
      <c r="CB1" s="67" t="s">
        <v>1272</v>
      </c>
      <c r="CC1" s="67" t="s">
        <v>1273</v>
      </c>
      <c r="CD1" s="67" t="s">
        <v>1274</v>
      </c>
      <c r="CE1" s="67" t="s">
        <v>460</v>
      </c>
      <c r="CF1" s="67" t="s">
        <v>1275</v>
      </c>
      <c r="CG1" s="67" t="s">
        <v>1276</v>
      </c>
    </row>
    <row r="2" spans="1:85" s="66" customFormat="1">
      <c r="A2" s="22" t="s">
        <v>1358</v>
      </c>
      <c r="B2" s="65">
        <v>2.92</v>
      </c>
      <c r="C2" s="23">
        <f>PI()*(J2^2-Q2^2)*0.25</f>
        <v>335.51856111165466</v>
      </c>
      <c r="D2" s="38" t="s">
        <v>485</v>
      </c>
      <c r="E2" s="38" t="s">
        <v>485</v>
      </c>
      <c r="F2" s="38" t="s">
        <v>485</v>
      </c>
      <c r="G2" s="38" t="s">
        <v>485</v>
      </c>
      <c r="H2" s="38" t="s">
        <v>485</v>
      </c>
      <c r="I2" s="38" t="s">
        <v>485</v>
      </c>
      <c r="J2" s="24">
        <v>48.26</v>
      </c>
      <c r="K2" s="38" t="s">
        <v>485</v>
      </c>
      <c r="L2" s="38" t="s">
        <v>485</v>
      </c>
      <c r="M2" s="38" t="s">
        <v>485</v>
      </c>
      <c r="N2" s="38" t="s">
        <v>485</v>
      </c>
      <c r="O2" s="38" t="s">
        <v>485</v>
      </c>
      <c r="P2" s="38" t="s">
        <v>485</v>
      </c>
      <c r="Q2" s="28">
        <f>J2-2*Y2</f>
        <v>43.61</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8.8720747425580435E-2</v>
      </c>
      <c r="AO2" s="26">
        <f>((J2^3-Q2^3)/6)/(10^3)</f>
        <v>4.9099956825</v>
      </c>
      <c r="AP2" s="22">
        <f>AN2*10^6/(J2/2)</f>
        <v>3676.7819074007643</v>
      </c>
      <c r="AQ2" s="22">
        <f>SQRT(AN2*10^6/C2)</f>
        <v>16.261264749397569</v>
      </c>
      <c r="AR2" s="22">
        <f>AN2</f>
        <v>8.8720747425580435E-2</v>
      </c>
      <c r="AS2" s="23">
        <f>AO2</f>
        <v>4.9099956825</v>
      </c>
      <c r="AT2" s="22">
        <f>AP2</f>
        <v>3676.7819074007643</v>
      </c>
      <c r="AU2" s="22">
        <f>AQ2</f>
        <v>16.261264749397569</v>
      </c>
      <c r="AV2" s="38" t="s">
        <v>485</v>
      </c>
      <c r="AW2" s="38" t="s">
        <v>485</v>
      </c>
      <c r="AX2" s="38" t="s">
        <v>485</v>
      </c>
      <c r="AY2" s="23">
        <f>(PI()*(J2^4-Q2^4)/32)/(10^3)</f>
        <v>177.44149485116088</v>
      </c>
      <c r="AZ2" s="23">
        <v>0</v>
      </c>
      <c r="BA2" s="23">
        <f>2*AY2/AVERAGE(J2,Q2)</f>
        <v>7.7257644432855503</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151.6132614622434</v>
      </c>
      <c r="CE2" s="38" t="s">
        <v>485</v>
      </c>
      <c r="CF2" s="38" t="s">
        <v>485</v>
      </c>
      <c r="CG2" s="38" t="s">
        <v>485</v>
      </c>
    </row>
    <row r="3" spans="1:85">
      <c r="A3" s="22" t="s">
        <v>1359</v>
      </c>
      <c r="B3" s="65">
        <v>3.47</v>
      </c>
      <c r="C3" s="23">
        <f t="shared" ref="C3:C22" si="0">PI()*(J3^2-Q3^2)*0.25</f>
        <v>398.54652810485072</v>
      </c>
      <c r="D3" s="38" t="s">
        <v>485</v>
      </c>
      <c r="E3" s="38" t="s">
        <v>485</v>
      </c>
      <c r="F3" s="38" t="s">
        <v>485</v>
      </c>
      <c r="G3" s="38" t="s">
        <v>485</v>
      </c>
      <c r="H3" s="38" t="s">
        <v>485</v>
      </c>
      <c r="I3" s="38" t="s">
        <v>485</v>
      </c>
      <c r="J3" s="24">
        <v>48.26</v>
      </c>
      <c r="K3" s="38" t="s">
        <v>485</v>
      </c>
      <c r="L3" s="38" t="s">
        <v>485</v>
      </c>
      <c r="M3" s="38" t="s">
        <v>485</v>
      </c>
      <c r="N3" s="38" t="s">
        <v>485</v>
      </c>
      <c r="O3" s="38" t="s">
        <v>485</v>
      </c>
      <c r="P3" s="38" t="s">
        <v>485</v>
      </c>
      <c r="Q3" s="28">
        <f t="shared" ref="Q3:Q22" si="1">J3-2*Y3</f>
        <v>42.68</v>
      </c>
      <c r="R3" s="38" t="s">
        <v>485</v>
      </c>
      <c r="S3" s="38" t="s">
        <v>485</v>
      </c>
      <c r="T3" s="38" t="s">
        <v>485</v>
      </c>
      <c r="U3" s="38" t="s">
        <v>485</v>
      </c>
      <c r="V3" s="38" t="s">
        <v>485</v>
      </c>
      <c r="W3" s="38" t="s">
        <v>485</v>
      </c>
      <c r="X3" s="24">
        <v>3</v>
      </c>
      <c r="Y3" s="22">
        <f t="shared" ref="Y3:Y22" si="2">0.93*X3</f>
        <v>2.79</v>
      </c>
      <c r="Z3" s="38" t="s">
        <v>485</v>
      </c>
      <c r="AA3" s="38" t="s">
        <v>485</v>
      </c>
      <c r="AB3" s="38" t="s">
        <v>485</v>
      </c>
      <c r="AC3" s="38" t="s">
        <v>485</v>
      </c>
      <c r="AD3" s="38" t="s">
        <v>485</v>
      </c>
      <c r="AE3" s="38" t="s">
        <v>485</v>
      </c>
      <c r="AF3" s="38" t="s">
        <v>485</v>
      </c>
      <c r="AG3" s="38" t="s">
        <v>485</v>
      </c>
      <c r="AH3" s="38" t="s">
        <v>485</v>
      </c>
      <c r="AI3" s="38" t="s">
        <v>485</v>
      </c>
      <c r="AJ3" s="38" t="s">
        <v>485</v>
      </c>
      <c r="AK3" s="38" t="s">
        <v>485</v>
      </c>
      <c r="AL3" s="38" t="s">
        <v>485</v>
      </c>
      <c r="AM3" s="38" t="s">
        <v>485</v>
      </c>
      <c r="AN3" s="22">
        <f t="shared" ref="AN3:AN22" si="3">(0.25*PI()*((0.5*J3)^4-(0.5*Q3)^4))/(10^6)</f>
        <v>0.10338820031357966</v>
      </c>
      <c r="AO3" s="26">
        <f t="shared" ref="AO3:AO22" si="4">((J3^3-Q3^3)/6)/(10^3)</f>
        <v>5.7756225239999983</v>
      </c>
      <c r="AP3" s="22">
        <f t="shared" ref="AP3:AP22" si="5">AN3*10^6/(J3/2)</f>
        <v>4284.6332496303212</v>
      </c>
      <c r="AQ3" s="22">
        <f t="shared" ref="AQ3:AQ22" si="6">SQRT(AN3*10^6/C3)</f>
        <v>16.106306994466483</v>
      </c>
      <c r="AR3" s="22">
        <f t="shared" ref="AR3:AR22" si="7">AN3</f>
        <v>0.10338820031357966</v>
      </c>
      <c r="AS3" s="23">
        <f t="shared" ref="AS3:AS22" si="8">AO3</f>
        <v>5.7756225239999983</v>
      </c>
      <c r="AT3" s="22">
        <f t="shared" ref="AT3:AT22" si="9">AP3</f>
        <v>4284.6332496303212</v>
      </c>
      <c r="AU3" s="22">
        <f t="shared" ref="AU3:AU22" si="10">AQ3</f>
        <v>16.106306994466483</v>
      </c>
      <c r="AV3" s="38" t="s">
        <v>485</v>
      </c>
      <c r="AW3" s="38" t="s">
        <v>485</v>
      </c>
      <c r="AX3" s="38" t="s">
        <v>485</v>
      </c>
      <c r="AY3" s="23">
        <f t="shared" ref="AY3:AY22" si="11">(PI()*(J3^4-Q3^4)/32)/(10^3)</f>
        <v>206.77640062715932</v>
      </c>
      <c r="AZ3" s="23">
        <v>1</v>
      </c>
      <c r="BA3" s="23">
        <f t="shared" ref="BA3:BA22" si="12">2*AY3/AVERAGE(J3,Q3)</f>
        <v>9.0950693040316395</v>
      </c>
      <c r="BB3" s="38" t="s">
        <v>485</v>
      </c>
      <c r="BC3" s="38" t="s">
        <v>485</v>
      </c>
      <c r="BD3" s="38" t="s">
        <v>485</v>
      </c>
      <c r="BE3" s="38" t="s">
        <v>485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t="s">
        <v>485</v>
      </c>
      <c r="BU3" s="38" t="s">
        <v>485</v>
      </c>
      <c r="BV3" s="38" t="s">
        <v>485</v>
      </c>
      <c r="BW3" s="38" t="s">
        <v>485</v>
      </c>
      <c r="BX3" s="38" t="s">
        <v>485</v>
      </c>
      <c r="BY3" s="38" t="s">
        <v>485</v>
      </c>
      <c r="BZ3" s="38" t="s">
        <v>485</v>
      </c>
      <c r="CA3" s="38" t="s">
        <v>485</v>
      </c>
      <c r="CB3" s="38" t="s">
        <v>485</v>
      </c>
      <c r="CC3" s="38" t="s">
        <v>485</v>
      </c>
      <c r="CD3" s="22">
        <f t="shared" ref="CD3:CD22" si="13">2*PI()*J3*0.5</f>
        <v>151.6132614622434</v>
      </c>
      <c r="CE3" s="38" t="s">
        <v>485</v>
      </c>
      <c r="CF3" s="38" t="s">
        <v>485</v>
      </c>
      <c r="CG3" s="38" t="s">
        <v>485</v>
      </c>
    </row>
    <row r="4" spans="1:85">
      <c r="A4" s="22" t="s">
        <v>1360</v>
      </c>
      <c r="B4" s="65">
        <v>3.64</v>
      </c>
      <c r="C4" s="23">
        <f t="shared" si="0"/>
        <v>422.73074397163384</v>
      </c>
      <c r="D4" s="38" t="s">
        <v>485</v>
      </c>
      <c r="E4" s="38" t="s">
        <v>485</v>
      </c>
      <c r="F4" s="38" t="s">
        <v>485</v>
      </c>
      <c r="G4" s="38" t="s">
        <v>485</v>
      </c>
      <c r="H4" s="38" t="s">
        <v>485</v>
      </c>
      <c r="I4" s="38" t="s">
        <v>485</v>
      </c>
      <c r="J4" s="24">
        <v>60.2</v>
      </c>
      <c r="K4" s="38" t="s">
        <v>485</v>
      </c>
      <c r="L4" s="38" t="s">
        <v>485</v>
      </c>
      <c r="M4" s="38" t="s">
        <v>485</v>
      </c>
      <c r="N4" s="38" t="s">
        <v>485</v>
      </c>
      <c r="O4" s="38" t="s">
        <v>485</v>
      </c>
      <c r="P4" s="38" t="s">
        <v>485</v>
      </c>
      <c r="Q4" s="28">
        <f t="shared" si="1"/>
        <v>55.550000000000004</v>
      </c>
      <c r="R4" s="38" t="s">
        <v>485</v>
      </c>
      <c r="S4" s="38" t="s">
        <v>485</v>
      </c>
      <c r="T4" s="38" t="s">
        <v>485</v>
      </c>
      <c r="U4" s="38" t="s">
        <v>485</v>
      </c>
      <c r="V4" s="38" t="s">
        <v>485</v>
      </c>
      <c r="W4" s="38" t="s">
        <v>485</v>
      </c>
      <c r="X4" s="24">
        <v>2.5</v>
      </c>
      <c r="Y4" s="22">
        <f t="shared" si="2"/>
        <v>2.3250000000000002</v>
      </c>
      <c r="Z4" s="38" t="s">
        <v>485</v>
      </c>
      <c r="AA4" s="38" t="s">
        <v>485</v>
      </c>
      <c r="AB4" s="38" t="s">
        <v>485</v>
      </c>
      <c r="AC4" s="38" t="s">
        <v>485</v>
      </c>
      <c r="AD4" s="38" t="s">
        <v>485</v>
      </c>
      <c r="AE4" s="38" t="s">
        <v>485</v>
      </c>
      <c r="AF4" s="38" t="s">
        <v>485</v>
      </c>
      <c r="AG4" s="38" t="s">
        <v>485</v>
      </c>
      <c r="AH4" s="38" t="s">
        <v>485</v>
      </c>
      <c r="AI4" s="38" t="s">
        <v>485</v>
      </c>
      <c r="AJ4" s="38" t="s">
        <v>485</v>
      </c>
      <c r="AK4" s="38" t="s">
        <v>485</v>
      </c>
      <c r="AL4" s="38" t="s">
        <v>485</v>
      </c>
      <c r="AM4" s="38" t="s">
        <v>485</v>
      </c>
      <c r="AN4" s="22">
        <f t="shared" si="3"/>
        <v>0.17727854449734295</v>
      </c>
      <c r="AO4" s="26">
        <f t="shared" si="4"/>
        <v>7.7918131874999963</v>
      </c>
      <c r="AP4" s="22">
        <f t="shared" si="5"/>
        <v>5889.6526411077393</v>
      </c>
      <c r="AQ4" s="22">
        <f t="shared" si="6"/>
        <v>20.478407073061128</v>
      </c>
      <c r="AR4" s="22">
        <f t="shared" si="7"/>
        <v>0.17727854449734295</v>
      </c>
      <c r="AS4" s="23">
        <f t="shared" si="8"/>
        <v>7.7918131874999963</v>
      </c>
      <c r="AT4" s="22">
        <f t="shared" si="9"/>
        <v>5889.6526411077393</v>
      </c>
      <c r="AU4" s="22">
        <f t="shared" si="10"/>
        <v>20.478407073061128</v>
      </c>
      <c r="AV4" s="38" t="s">
        <v>485</v>
      </c>
      <c r="AW4" s="38" t="s">
        <v>485</v>
      </c>
      <c r="AX4" s="38" t="s">
        <v>485</v>
      </c>
      <c r="AY4" s="23">
        <f t="shared" si="11"/>
        <v>354.5570889946859</v>
      </c>
      <c r="AZ4" s="23">
        <v>2</v>
      </c>
      <c r="BA4" s="23">
        <f t="shared" si="12"/>
        <v>12.252512794632773</v>
      </c>
      <c r="BB4" s="38" t="s">
        <v>485</v>
      </c>
      <c r="BC4" s="38" t="s">
        <v>485</v>
      </c>
      <c r="BD4" s="38" t="s">
        <v>485</v>
      </c>
      <c r="BE4" s="38" t="s">
        <v>485</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t="s">
        <v>485</v>
      </c>
      <c r="BU4" s="38" t="s">
        <v>485</v>
      </c>
      <c r="BV4" s="38" t="s">
        <v>485</v>
      </c>
      <c r="BW4" s="38" t="s">
        <v>485</v>
      </c>
      <c r="BX4" s="38" t="s">
        <v>485</v>
      </c>
      <c r="BY4" s="38" t="s">
        <v>485</v>
      </c>
      <c r="BZ4" s="38" t="s">
        <v>485</v>
      </c>
      <c r="CA4" s="38" t="s">
        <v>485</v>
      </c>
      <c r="CB4" s="38" t="s">
        <v>485</v>
      </c>
      <c r="CC4" s="38" t="s">
        <v>485</v>
      </c>
      <c r="CD4" s="22">
        <f t="shared" si="13"/>
        <v>189.12387774610556</v>
      </c>
      <c r="CE4" s="38" t="s">
        <v>485</v>
      </c>
      <c r="CF4" s="38" t="s">
        <v>485</v>
      </c>
      <c r="CG4" s="38" t="s">
        <v>485</v>
      </c>
    </row>
    <row r="5" spans="1:85">
      <c r="A5" s="22" t="s">
        <v>1361</v>
      </c>
      <c r="B5" s="65">
        <v>4.33</v>
      </c>
      <c r="C5" s="23">
        <f t="shared" si="0"/>
        <v>503.20114753682617</v>
      </c>
      <c r="D5" s="38" t="s">
        <v>485</v>
      </c>
      <c r="E5" s="38" t="s">
        <v>485</v>
      </c>
      <c r="F5" s="38" t="s">
        <v>485</v>
      </c>
      <c r="G5" s="38" t="s">
        <v>485</v>
      </c>
      <c r="H5" s="38" t="s">
        <v>485</v>
      </c>
      <c r="I5" s="38" t="s">
        <v>485</v>
      </c>
      <c r="J5" s="24">
        <v>60.2</v>
      </c>
      <c r="K5" s="38" t="s">
        <v>485</v>
      </c>
      <c r="L5" s="38" t="s">
        <v>485</v>
      </c>
      <c r="M5" s="38" t="s">
        <v>485</v>
      </c>
      <c r="N5" s="38" t="s">
        <v>485</v>
      </c>
      <c r="O5" s="38" t="s">
        <v>485</v>
      </c>
      <c r="P5" s="38" t="s">
        <v>485</v>
      </c>
      <c r="Q5" s="28">
        <f t="shared" si="1"/>
        <v>54.620000000000005</v>
      </c>
      <c r="R5" s="38" t="s">
        <v>485</v>
      </c>
      <c r="S5" s="38" t="s">
        <v>485</v>
      </c>
      <c r="T5" s="38" t="s">
        <v>485</v>
      </c>
      <c r="U5" s="38" t="s">
        <v>485</v>
      </c>
      <c r="V5" s="38" t="s">
        <v>485</v>
      </c>
      <c r="W5" s="38" t="s">
        <v>485</v>
      </c>
      <c r="X5" s="24">
        <v>3</v>
      </c>
      <c r="Y5" s="22">
        <f t="shared" si="2"/>
        <v>2.79</v>
      </c>
      <c r="Z5" s="38" t="s">
        <v>485</v>
      </c>
      <c r="AA5" s="38" t="s">
        <v>485</v>
      </c>
      <c r="AB5" s="38" t="s">
        <v>485</v>
      </c>
      <c r="AC5" s="38" t="s">
        <v>485</v>
      </c>
      <c r="AD5" s="38" t="s">
        <v>485</v>
      </c>
      <c r="AE5" s="38" t="s">
        <v>485</v>
      </c>
      <c r="AF5" s="38" t="s">
        <v>485</v>
      </c>
      <c r="AG5" s="38" t="s">
        <v>485</v>
      </c>
      <c r="AH5" s="38" t="s">
        <v>485</v>
      </c>
      <c r="AI5" s="38" t="s">
        <v>485</v>
      </c>
      <c r="AJ5" s="38" t="s">
        <v>485</v>
      </c>
      <c r="AK5" s="38" t="s">
        <v>485</v>
      </c>
      <c r="AL5" s="38" t="s">
        <v>485</v>
      </c>
      <c r="AM5" s="38" t="s">
        <v>485</v>
      </c>
      <c r="AN5" s="22">
        <f t="shared" si="3"/>
        <v>0.20780271326855773</v>
      </c>
      <c r="AO5" s="26">
        <f t="shared" si="4"/>
        <v>9.2028228120000044</v>
      </c>
      <c r="AP5" s="22">
        <f t="shared" si="5"/>
        <v>6903.7446268623826</v>
      </c>
      <c r="AQ5" s="22">
        <f t="shared" si="6"/>
        <v>20.321454795363447</v>
      </c>
      <c r="AR5" s="22">
        <f t="shared" si="7"/>
        <v>0.20780271326855773</v>
      </c>
      <c r="AS5" s="23">
        <f t="shared" si="8"/>
        <v>9.2028228120000044</v>
      </c>
      <c r="AT5" s="22">
        <f t="shared" si="9"/>
        <v>6903.7446268623826</v>
      </c>
      <c r="AU5" s="22">
        <f t="shared" si="10"/>
        <v>20.321454795363447</v>
      </c>
      <c r="AV5" s="38" t="s">
        <v>485</v>
      </c>
      <c r="AW5" s="38" t="s">
        <v>485</v>
      </c>
      <c r="AX5" s="38" t="s">
        <v>485</v>
      </c>
      <c r="AY5" s="23">
        <f t="shared" si="11"/>
        <v>415.60542653711548</v>
      </c>
      <c r="AZ5" s="23">
        <v>3</v>
      </c>
      <c r="BA5" s="23">
        <f t="shared" si="12"/>
        <v>14.478502927612453</v>
      </c>
      <c r="BB5" s="38" t="s">
        <v>485</v>
      </c>
      <c r="BC5" s="38" t="s">
        <v>485</v>
      </c>
      <c r="BD5" s="38" t="s">
        <v>485</v>
      </c>
      <c r="BE5" s="38" t="s">
        <v>485</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t="s">
        <v>485</v>
      </c>
      <c r="BU5" s="38" t="s">
        <v>485</v>
      </c>
      <c r="BV5" s="38" t="s">
        <v>485</v>
      </c>
      <c r="BW5" s="38" t="s">
        <v>485</v>
      </c>
      <c r="BX5" s="38" t="s">
        <v>485</v>
      </c>
      <c r="BY5" s="38" t="s">
        <v>485</v>
      </c>
      <c r="BZ5" s="38" t="s">
        <v>485</v>
      </c>
      <c r="CA5" s="38" t="s">
        <v>485</v>
      </c>
      <c r="CB5" s="38" t="s">
        <v>485</v>
      </c>
      <c r="CC5" s="38" t="s">
        <v>485</v>
      </c>
      <c r="CD5" s="22">
        <f t="shared" si="13"/>
        <v>189.12387774610556</v>
      </c>
      <c r="CE5" s="38" t="s">
        <v>485</v>
      </c>
      <c r="CF5" s="38" t="s">
        <v>485</v>
      </c>
      <c r="CG5" s="38" t="s">
        <v>485</v>
      </c>
    </row>
    <row r="6" spans="1:85">
      <c r="A6" s="22" t="s">
        <v>1362</v>
      </c>
      <c r="B6" s="65">
        <v>5.67</v>
      </c>
      <c r="C6" s="23">
        <f t="shared" si="0"/>
        <v>660.06620943807559</v>
      </c>
      <c r="D6" s="38" t="s">
        <v>485</v>
      </c>
      <c r="E6" s="38" t="s">
        <v>485</v>
      </c>
      <c r="F6" s="38" t="s">
        <v>485</v>
      </c>
      <c r="G6" s="38" t="s">
        <v>485</v>
      </c>
      <c r="H6" s="38" t="s">
        <v>485</v>
      </c>
      <c r="I6" s="38" t="s">
        <v>485</v>
      </c>
      <c r="J6" s="24">
        <v>60.2</v>
      </c>
      <c r="K6" s="38" t="s">
        <v>485</v>
      </c>
      <c r="L6" s="38" t="s">
        <v>485</v>
      </c>
      <c r="M6" s="38" t="s">
        <v>485</v>
      </c>
      <c r="N6" s="38" t="s">
        <v>485</v>
      </c>
      <c r="O6" s="38" t="s">
        <v>485</v>
      </c>
      <c r="P6" s="38" t="s">
        <v>485</v>
      </c>
      <c r="Q6" s="28">
        <f t="shared" si="1"/>
        <v>52.760000000000005</v>
      </c>
      <c r="R6" s="38" t="s">
        <v>485</v>
      </c>
      <c r="S6" s="38" t="s">
        <v>485</v>
      </c>
      <c r="T6" s="38" t="s">
        <v>485</v>
      </c>
      <c r="U6" s="38" t="s">
        <v>485</v>
      </c>
      <c r="V6" s="38" t="s">
        <v>485</v>
      </c>
      <c r="W6" s="38" t="s">
        <v>485</v>
      </c>
      <c r="X6" s="24">
        <v>4</v>
      </c>
      <c r="Y6" s="22">
        <f t="shared" si="2"/>
        <v>3.72</v>
      </c>
      <c r="Z6" s="38" t="s">
        <v>485</v>
      </c>
      <c r="AA6" s="38" t="s">
        <v>485</v>
      </c>
      <c r="AB6" s="38" t="s">
        <v>485</v>
      </c>
      <c r="AC6" s="38" t="s">
        <v>485</v>
      </c>
      <c r="AD6" s="38" t="s">
        <v>485</v>
      </c>
      <c r="AE6" s="38" t="s">
        <v>485</v>
      </c>
      <c r="AF6" s="38" t="s">
        <v>485</v>
      </c>
      <c r="AG6" s="38" t="s">
        <v>485</v>
      </c>
      <c r="AH6" s="38" t="s">
        <v>485</v>
      </c>
      <c r="AI6" s="38" t="s">
        <v>485</v>
      </c>
      <c r="AJ6" s="38" t="s">
        <v>485</v>
      </c>
      <c r="AK6" s="38" t="s">
        <v>485</v>
      </c>
      <c r="AL6" s="38" t="s">
        <v>485</v>
      </c>
      <c r="AM6" s="38" t="s">
        <v>485</v>
      </c>
      <c r="AN6" s="22">
        <f t="shared" si="3"/>
        <v>0.26434239146306732</v>
      </c>
      <c r="AO6" s="26">
        <f t="shared" si="4"/>
        <v>11.883923904000001</v>
      </c>
      <c r="AP6" s="22">
        <f t="shared" si="5"/>
        <v>8782.1392512646944</v>
      </c>
      <c r="AQ6" s="22">
        <f t="shared" si="6"/>
        <v>20.011961423108932</v>
      </c>
      <c r="AR6" s="22">
        <f t="shared" si="7"/>
        <v>0.26434239146306732</v>
      </c>
      <c r="AS6" s="23">
        <f t="shared" si="8"/>
        <v>11.883923904000001</v>
      </c>
      <c r="AT6" s="22">
        <f t="shared" si="9"/>
        <v>8782.1392512646944</v>
      </c>
      <c r="AU6" s="22">
        <f t="shared" si="10"/>
        <v>20.011961423108932</v>
      </c>
      <c r="AV6" s="38" t="s">
        <v>485</v>
      </c>
      <c r="AW6" s="38" t="s">
        <v>485</v>
      </c>
      <c r="AX6" s="38" t="s">
        <v>485</v>
      </c>
      <c r="AY6" s="23">
        <f t="shared" si="11"/>
        <v>528.68478292613463</v>
      </c>
      <c r="AZ6" s="23">
        <v>4</v>
      </c>
      <c r="BA6" s="23">
        <f t="shared" si="12"/>
        <v>18.721132539877289</v>
      </c>
      <c r="BB6" s="38" t="s">
        <v>485</v>
      </c>
      <c r="BC6" s="38" t="s">
        <v>485</v>
      </c>
      <c r="BD6" s="38" t="s">
        <v>485</v>
      </c>
      <c r="BE6" s="38" t="s">
        <v>485</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t="s">
        <v>485</v>
      </c>
      <c r="BU6" s="38" t="s">
        <v>485</v>
      </c>
      <c r="BV6" s="38" t="s">
        <v>485</v>
      </c>
      <c r="BW6" s="38" t="s">
        <v>485</v>
      </c>
      <c r="BX6" s="38" t="s">
        <v>485</v>
      </c>
      <c r="BY6" s="38" t="s">
        <v>485</v>
      </c>
      <c r="BZ6" s="38" t="s">
        <v>485</v>
      </c>
      <c r="CA6" s="38" t="s">
        <v>485</v>
      </c>
      <c r="CB6" s="38" t="s">
        <v>485</v>
      </c>
      <c r="CC6" s="38" t="s">
        <v>485</v>
      </c>
      <c r="CD6" s="22">
        <f t="shared" si="13"/>
        <v>189.12387774610556</v>
      </c>
      <c r="CE6" s="38" t="s">
        <v>485</v>
      </c>
      <c r="CF6" s="38" t="s">
        <v>485</v>
      </c>
      <c r="CG6" s="38" t="s">
        <v>485</v>
      </c>
    </row>
    <row r="7" spans="1:85">
      <c r="A7" s="22" t="s">
        <v>1363</v>
      </c>
      <c r="B7" s="65">
        <v>4.45</v>
      </c>
      <c r="C7" s="23">
        <f t="shared" si="0"/>
        <v>511.76897756151288</v>
      </c>
      <c r="D7" s="38" t="s">
        <v>485</v>
      </c>
      <c r="E7" s="38" t="s">
        <v>485</v>
      </c>
      <c r="F7" s="38" t="s">
        <v>485</v>
      </c>
      <c r="G7" s="38" t="s">
        <v>485</v>
      </c>
      <c r="H7" s="38" t="s">
        <v>485</v>
      </c>
      <c r="I7" s="38" t="s">
        <v>485</v>
      </c>
      <c r="J7" s="24">
        <v>72.39</v>
      </c>
      <c r="K7" s="38" t="s">
        <v>485</v>
      </c>
      <c r="L7" s="38" t="s">
        <v>485</v>
      </c>
      <c r="M7" s="38" t="s">
        <v>485</v>
      </c>
      <c r="N7" s="38" t="s">
        <v>485</v>
      </c>
      <c r="O7" s="38" t="s">
        <v>485</v>
      </c>
      <c r="P7" s="38" t="s">
        <v>485</v>
      </c>
      <c r="Q7" s="28">
        <f t="shared" si="1"/>
        <v>67.739999999999995</v>
      </c>
      <c r="R7" s="38" t="s">
        <v>485</v>
      </c>
      <c r="S7" s="38" t="s">
        <v>485</v>
      </c>
      <c r="T7" s="38" t="s">
        <v>485</v>
      </c>
      <c r="U7" s="38" t="s">
        <v>485</v>
      </c>
      <c r="V7" s="38" t="s">
        <v>485</v>
      </c>
      <c r="W7" s="38" t="s">
        <v>485</v>
      </c>
      <c r="X7" s="24">
        <v>2.5</v>
      </c>
      <c r="Y7" s="22">
        <f t="shared" si="2"/>
        <v>2.3250000000000002</v>
      </c>
      <c r="Z7" s="38" t="s">
        <v>485</v>
      </c>
      <c r="AA7" s="38" t="s">
        <v>485</v>
      </c>
      <c r="AB7" s="38" t="s">
        <v>485</v>
      </c>
      <c r="AC7" s="38" t="s">
        <v>485</v>
      </c>
      <c r="AD7" s="38" t="s">
        <v>485</v>
      </c>
      <c r="AE7" s="38" t="s">
        <v>485</v>
      </c>
      <c r="AF7" s="38" t="s">
        <v>485</v>
      </c>
      <c r="AG7" s="38" t="s">
        <v>485</v>
      </c>
      <c r="AH7" s="38" t="s">
        <v>485</v>
      </c>
      <c r="AI7" s="38" t="s">
        <v>485</v>
      </c>
      <c r="AJ7" s="38" t="s">
        <v>485</v>
      </c>
      <c r="AK7" s="38" t="s">
        <v>485</v>
      </c>
      <c r="AL7" s="38" t="s">
        <v>485</v>
      </c>
      <c r="AM7" s="38" t="s">
        <v>485</v>
      </c>
      <c r="AN7" s="22">
        <f t="shared" si="3"/>
        <v>0.31438671014381059</v>
      </c>
      <c r="AO7" s="26">
        <f t="shared" si="4"/>
        <v>11.417856682500007</v>
      </c>
      <c r="AP7" s="22">
        <f t="shared" si="5"/>
        <v>8685.915461909397</v>
      </c>
      <c r="AQ7" s="22">
        <f t="shared" si="6"/>
        <v>24.785353159678806</v>
      </c>
      <c r="AR7" s="22">
        <f t="shared" si="7"/>
        <v>0.31438671014381059</v>
      </c>
      <c r="AS7" s="23">
        <f t="shared" si="8"/>
        <v>11.417856682500007</v>
      </c>
      <c r="AT7" s="22">
        <f t="shared" si="9"/>
        <v>8685.915461909397</v>
      </c>
      <c r="AU7" s="22">
        <f t="shared" si="10"/>
        <v>24.785353159678806</v>
      </c>
      <c r="AV7" s="38" t="s">
        <v>485</v>
      </c>
      <c r="AW7" s="38" t="s">
        <v>485</v>
      </c>
      <c r="AX7" s="38" t="s">
        <v>485</v>
      </c>
      <c r="AY7" s="23">
        <f t="shared" si="11"/>
        <v>628.77342028762121</v>
      </c>
      <c r="AZ7" s="23">
        <v>5</v>
      </c>
      <c r="BA7" s="23">
        <f t="shared" si="12"/>
        <v>17.948288597377328</v>
      </c>
      <c r="BB7" s="38" t="s">
        <v>485</v>
      </c>
      <c r="BC7" s="38" t="s">
        <v>485</v>
      </c>
      <c r="BD7" s="38" t="s">
        <v>485</v>
      </c>
      <c r="BE7" s="38" t="s">
        <v>485</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8" t="s">
        <v>485</v>
      </c>
      <c r="BU7" s="38" t="s">
        <v>485</v>
      </c>
      <c r="BV7" s="38" t="s">
        <v>485</v>
      </c>
      <c r="BW7" s="38" t="s">
        <v>485</v>
      </c>
      <c r="BX7" s="38" t="s">
        <v>485</v>
      </c>
      <c r="BY7" s="38" t="s">
        <v>485</v>
      </c>
      <c r="BZ7" s="38" t="s">
        <v>485</v>
      </c>
      <c r="CA7" s="38" t="s">
        <v>485</v>
      </c>
      <c r="CB7" s="38" t="s">
        <v>485</v>
      </c>
      <c r="CC7" s="38" t="s">
        <v>485</v>
      </c>
      <c r="CD7" s="22">
        <f t="shared" si="13"/>
        <v>227.41989219336511</v>
      </c>
      <c r="CE7" s="38" t="s">
        <v>485</v>
      </c>
      <c r="CF7" s="38" t="s">
        <v>485</v>
      </c>
      <c r="CG7" s="38" t="s">
        <v>485</v>
      </c>
    </row>
    <row r="8" spans="1:85">
      <c r="A8" s="22" t="s">
        <v>1364</v>
      </c>
      <c r="B8" s="65">
        <v>5.3</v>
      </c>
      <c r="C8" s="23">
        <f t="shared" si="0"/>
        <v>610.04702784468031</v>
      </c>
      <c r="D8" s="38" t="s">
        <v>485</v>
      </c>
      <c r="E8" s="38" t="s">
        <v>485</v>
      </c>
      <c r="F8" s="38" t="s">
        <v>485</v>
      </c>
      <c r="G8" s="38" t="s">
        <v>485</v>
      </c>
      <c r="H8" s="38" t="s">
        <v>485</v>
      </c>
      <c r="I8" s="38" t="s">
        <v>485</v>
      </c>
      <c r="J8" s="24">
        <v>72.39</v>
      </c>
      <c r="K8" s="38" t="s">
        <v>485</v>
      </c>
      <c r="L8" s="38" t="s">
        <v>485</v>
      </c>
      <c r="M8" s="38" t="s">
        <v>485</v>
      </c>
      <c r="N8" s="38" t="s">
        <v>485</v>
      </c>
      <c r="O8" s="38" t="s">
        <v>485</v>
      </c>
      <c r="P8" s="38" t="s">
        <v>485</v>
      </c>
      <c r="Q8" s="28">
        <f t="shared" si="1"/>
        <v>66.81</v>
      </c>
      <c r="R8" s="38" t="s">
        <v>485</v>
      </c>
      <c r="S8" s="38" t="s">
        <v>485</v>
      </c>
      <c r="T8" s="38" t="s">
        <v>485</v>
      </c>
      <c r="U8" s="38" t="s">
        <v>485</v>
      </c>
      <c r="V8" s="38" t="s">
        <v>485</v>
      </c>
      <c r="W8" s="38" t="s">
        <v>485</v>
      </c>
      <c r="X8" s="24">
        <v>3</v>
      </c>
      <c r="Y8" s="22">
        <f t="shared" si="2"/>
        <v>2.79</v>
      </c>
      <c r="Z8" s="38" t="s">
        <v>485</v>
      </c>
      <c r="AA8" s="38" t="s">
        <v>485</v>
      </c>
      <c r="AB8" s="38" t="s">
        <v>485</v>
      </c>
      <c r="AC8" s="38" t="s">
        <v>485</v>
      </c>
      <c r="AD8" s="38" t="s">
        <v>485</v>
      </c>
      <c r="AE8" s="38" t="s">
        <v>485</v>
      </c>
      <c r="AF8" s="38" t="s">
        <v>485</v>
      </c>
      <c r="AG8" s="38" t="s">
        <v>485</v>
      </c>
      <c r="AH8" s="38" t="s">
        <v>485</v>
      </c>
      <c r="AI8" s="38" t="s">
        <v>485</v>
      </c>
      <c r="AJ8" s="38" t="s">
        <v>485</v>
      </c>
      <c r="AK8" s="38" t="s">
        <v>485</v>
      </c>
      <c r="AL8" s="38" t="s">
        <v>485</v>
      </c>
      <c r="AM8" s="38" t="s">
        <v>485</v>
      </c>
      <c r="AN8" s="22">
        <f t="shared" si="3"/>
        <v>0.36998925968419161</v>
      </c>
      <c r="AO8" s="26">
        <f t="shared" si="4"/>
        <v>13.522445612999999</v>
      </c>
      <c r="AP8" s="22">
        <f t="shared" si="5"/>
        <v>10222.10967493277</v>
      </c>
      <c r="AQ8" s="22">
        <f t="shared" si="6"/>
        <v>24.627078846261895</v>
      </c>
      <c r="AR8" s="22">
        <f t="shared" si="7"/>
        <v>0.36998925968419161</v>
      </c>
      <c r="AS8" s="23">
        <f t="shared" si="8"/>
        <v>13.522445612999999</v>
      </c>
      <c r="AT8" s="22">
        <f t="shared" si="9"/>
        <v>10222.10967493277</v>
      </c>
      <c r="AU8" s="22">
        <f t="shared" si="10"/>
        <v>24.627078846261895</v>
      </c>
      <c r="AV8" s="38" t="s">
        <v>485</v>
      </c>
      <c r="AW8" s="38" t="s">
        <v>485</v>
      </c>
      <c r="AX8" s="38" t="s">
        <v>485</v>
      </c>
      <c r="AY8" s="23">
        <f t="shared" si="11"/>
        <v>739.97851936838322</v>
      </c>
      <c r="AZ8" s="23">
        <v>6</v>
      </c>
      <c r="BA8" s="23">
        <f t="shared" si="12"/>
        <v>21.263750556562737</v>
      </c>
      <c r="BB8" s="38" t="s">
        <v>485</v>
      </c>
      <c r="BC8" s="38" t="s">
        <v>485</v>
      </c>
      <c r="BD8" s="38" t="s">
        <v>485</v>
      </c>
      <c r="BE8" s="38" t="s">
        <v>485</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8" t="s">
        <v>485</v>
      </c>
      <c r="BU8" s="38" t="s">
        <v>485</v>
      </c>
      <c r="BV8" s="38" t="s">
        <v>485</v>
      </c>
      <c r="BW8" s="38" t="s">
        <v>485</v>
      </c>
      <c r="BX8" s="38" t="s">
        <v>485</v>
      </c>
      <c r="BY8" s="38" t="s">
        <v>485</v>
      </c>
      <c r="BZ8" s="38" t="s">
        <v>485</v>
      </c>
      <c r="CA8" s="38" t="s">
        <v>485</v>
      </c>
      <c r="CB8" s="38" t="s">
        <v>485</v>
      </c>
      <c r="CC8" s="38" t="s">
        <v>485</v>
      </c>
      <c r="CD8" s="22">
        <f t="shared" si="13"/>
        <v>227.41989219336511</v>
      </c>
      <c r="CE8" s="38" t="s">
        <v>485</v>
      </c>
      <c r="CF8" s="38" t="s">
        <v>485</v>
      </c>
      <c r="CG8" s="38" t="s">
        <v>485</v>
      </c>
    </row>
    <row r="9" spans="1:85">
      <c r="A9" s="22" t="s">
        <v>1365</v>
      </c>
      <c r="B9" s="65">
        <v>5.43</v>
      </c>
      <c r="C9" s="23">
        <f t="shared" si="0"/>
        <v>632.36136776404771</v>
      </c>
      <c r="D9" s="38" t="s">
        <v>485</v>
      </c>
      <c r="E9" s="38" t="s">
        <v>485</v>
      </c>
      <c r="F9" s="38" t="s">
        <v>485</v>
      </c>
      <c r="G9" s="38" t="s">
        <v>485</v>
      </c>
      <c r="H9" s="38" t="s">
        <v>485</v>
      </c>
      <c r="I9" s="38" t="s">
        <v>485</v>
      </c>
      <c r="J9" s="24">
        <v>88.9</v>
      </c>
      <c r="K9" s="38" t="s">
        <v>485</v>
      </c>
      <c r="L9" s="38" t="s">
        <v>485</v>
      </c>
      <c r="M9" s="38" t="s">
        <v>485</v>
      </c>
      <c r="N9" s="38" t="s">
        <v>485</v>
      </c>
      <c r="O9" s="38" t="s">
        <v>485</v>
      </c>
      <c r="P9" s="38" t="s">
        <v>485</v>
      </c>
      <c r="Q9" s="28">
        <f t="shared" si="1"/>
        <v>84.25</v>
      </c>
      <c r="R9" s="38" t="s">
        <v>485</v>
      </c>
      <c r="S9" s="38" t="s">
        <v>485</v>
      </c>
      <c r="T9" s="38" t="s">
        <v>485</v>
      </c>
      <c r="U9" s="38" t="s">
        <v>485</v>
      </c>
      <c r="V9" s="38" t="s">
        <v>485</v>
      </c>
      <c r="W9" s="38" t="s">
        <v>485</v>
      </c>
      <c r="X9" s="24">
        <v>2.5</v>
      </c>
      <c r="Y9" s="22">
        <f t="shared" si="2"/>
        <v>2.3250000000000002</v>
      </c>
      <c r="Z9" s="38" t="s">
        <v>485</v>
      </c>
      <c r="AA9" s="38" t="s">
        <v>485</v>
      </c>
      <c r="AB9" s="38" t="s">
        <v>485</v>
      </c>
      <c r="AC9" s="38" t="s">
        <v>485</v>
      </c>
      <c r="AD9" s="38" t="s">
        <v>485</v>
      </c>
      <c r="AE9" s="38" t="s">
        <v>485</v>
      </c>
      <c r="AF9" s="38" t="s">
        <v>485</v>
      </c>
      <c r="AG9" s="38" t="s">
        <v>485</v>
      </c>
      <c r="AH9" s="38" t="s">
        <v>485</v>
      </c>
      <c r="AI9" s="38" t="s">
        <v>485</v>
      </c>
      <c r="AJ9" s="38" t="s">
        <v>485</v>
      </c>
      <c r="AK9" s="38" t="s">
        <v>485</v>
      </c>
      <c r="AL9" s="38" t="s">
        <v>485</v>
      </c>
      <c r="AM9" s="38" t="s">
        <v>485</v>
      </c>
      <c r="AN9" s="22">
        <f t="shared" si="3"/>
        <v>0.59288907476882469</v>
      </c>
      <c r="AO9" s="26">
        <f t="shared" si="4"/>
        <v>17.430600562500029</v>
      </c>
      <c r="AP9" s="22">
        <f t="shared" si="5"/>
        <v>13338.336890187282</v>
      </c>
      <c r="AQ9" s="22">
        <f t="shared" si="6"/>
        <v>30.619920497120827</v>
      </c>
      <c r="AR9" s="22">
        <f t="shared" si="7"/>
        <v>0.59288907476882469</v>
      </c>
      <c r="AS9" s="23">
        <f t="shared" si="8"/>
        <v>17.430600562500029</v>
      </c>
      <c r="AT9" s="22">
        <f t="shared" si="9"/>
        <v>13338.336890187282</v>
      </c>
      <c r="AU9" s="22">
        <f t="shared" si="10"/>
        <v>30.619920497120827</v>
      </c>
      <c r="AV9" s="38" t="s">
        <v>485</v>
      </c>
      <c r="AW9" s="38" t="s">
        <v>485</v>
      </c>
      <c r="AX9" s="38" t="s">
        <v>485</v>
      </c>
      <c r="AY9" s="23">
        <f t="shared" si="11"/>
        <v>1185.7781495376494</v>
      </c>
      <c r="AZ9" s="23">
        <v>7</v>
      </c>
      <c r="BA9" s="23">
        <f t="shared" si="12"/>
        <v>27.393084598039835</v>
      </c>
      <c r="BB9" s="38" t="s">
        <v>485</v>
      </c>
      <c r="BC9" s="38" t="s">
        <v>485</v>
      </c>
      <c r="BD9" s="38" t="s">
        <v>485</v>
      </c>
      <c r="BE9" s="38" t="s">
        <v>485</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8" t="s">
        <v>485</v>
      </c>
      <c r="BU9" s="38" t="s">
        <v>485</v>
      </c>
      <c r="BV9" s="38" t="s">
        <v>485</v>
      </c>
      <c r="BW9" s="38" t="s">
        <v>485</v>
      </c>
      <c r="BX9" s="38" t="s">
        <v>485</v>
      </c>
      <c r="BY9" s="38" t="s">
        <v>485</v>
      </c>
      <c r="BZ9" s="38" t="s">
        <v>485</v>
      </c>
      <c r="CA9" s="38" t="s">
        <v>485</v>
      </c>
      <c r="CB9" s="38" t="s">
        <v>485</v>
      </c>
      <c r="CC9" s="38" t="s">
        <v>485</v>
      </c>
      <c r="CD9" s="22">
        <f t="shared" si="13"/>
        <v>279.28758690413264</v>
      </c>
      <c r="CE9" s="38" t="s">
        <v>485</v>
      </c>
      <c r="CF9" s="38" t="s">
        <v>485</v>
      </c>
      <c r="CG9" s="38" t="s">
        <v>485</v>
      </c>
    </row>
    <row r="10" spans="1:85">
      <c r="A10" s="22" t="s">
        <v>1366</v>
      </c>
      <c r="B10" s="65">
        <v>6.47</v>
      </c>
      <c r="C10" s="23">
        <f t="shared" si="0"/>
        <v>754.75789608772129</v>
      </c>
      <c r="D10" s="38" t="s">
        <v>485</v>
      </c>
      <c r="E10" s="38" t="s">
        <v>485</v>
      </c>
      <c r="F10" s="38" t="s">
        <v>485</v>
      </c>
      <c r="G10" s="38" t="s">
        <v>485</v>
      </c>
      <c r="H10" s="38" t="s">
        <v>485</v>
      </c>
      <c r="I10" s="38" t="s">
        <v>485</v>
      </c>
      <c r="J10" s="24">
        <v>88.9</v>
      </c>
      <c r="K10" s="38" t="s">
        <v>485</v>
      </c>
      <c r="L10" s="38" t="s">
        <v>485</v>
      </c>
      <c r="M10" s="38" t="s">
        <v>485</v>
      </c>
      <c r="N10" s="38" t="s">
        <v>485</v>
      </c>
      <c r="O10" s="38" t="s">
        <v>485</v>
      </c>
      <c r="P10" s="38" t="s">
        <v>485</v>
      </c>
      <c r="Q10" s="28">
        <f t="shared" si="1"/>
        <v>83.320000000000007</v>
      </c>
      <c r="R10" s="38" t="s">
        <v>485</v>
      </c>
      <c r="S10" s="38" t="s">
        <v>485</v>
      </c>
      <c r="T10" s="38" t="s">
        <v>485</v>
      </c>
      <c r="U10" s="38" t="s">
        <v>485</v>
      </c>
      <c r="V10" s="38" t="s">
        <v>485</v>
      </c>
      <c r="W10" s="38" t="s">
        <v>485</v>
      </c>
      <c r="X10" s="24">
        <v>3</v>
      </c>
      <c r="Y10" s="22">
        <f t="shared" si="2"/>
        <v>2.79</v>
      </c>
      <c r="Z10" s="38" t="s">
        <v>485</v>
      </c>
      <c r="AA10" s="38" t="s">
        <v>485</v>
      </c>
      <c r="AB10" s="38" t="s">
        <v>485</v>
      </c>
      <c r="AC10" s="38" t="s">
        <v>485</v>
      </c>
      <c r="AD10" s="38" t="s">
        <v>485</v>
      </c>
      <c r="AE10" s="38" t="s">
        <v>485</v>
      </c>
      <c r="AF10" s="38" t="s">
        <v>485</v>
      </c>
      <c r="AG10" s="38" t="s">
        <v>485</v>
      </c>
      <c r="AH10" s="38" t="s">
        <v>485</v>
      </c>
      <c r="AI10" s="38" t="s">
        <v>485</v>
      </c>
      <c r="AJ10" s="38" t="s">
        <v>485</v>
      </c>
      <c r="AK10" s="38" t="s">
        <v>485</v>
      </c>
      <c r="AL10" s="38" t="s">
        <v>485</v>
      </c>
      <c r="AM10" s="38" t="s">
        <v>485</v>
      </c>
      <c r="AN10" s="22">
        <f t="shared" si="3"/>
        <v>0.70029420779603058</v>
      </c>
      <c r="AO10" s="26">
        <f t="shared" si="4"/>
        <v>20.694899771999992</v>
      </c>
      <c r="AP10" s="22">
        <f t="shared" si="5"/>
        <v>15754.650344117672</v>
      </c>
      <c r="AQ10" s="22">
        <f t="shared" si="6"/>
        <v>30.460458384600845</v>
      </c>
      <c r="AR10" s="22">
        <f t="shared" si="7"/>
        <v>0.70029420779603058</v>
      </c>
      <c r="AS10" s="23">
        <f t="shared" si="8"/>
        <v>20.694899771999992</v>
      </c>
      <c r="AT10" s="22">
        <f t="shared" si="9"/>
        <v>15754.650344117672</v>
      </c>
      <c r="AU10" s="22">
        <f t="shared" si="10"/>
        <v>30.460458384600845</v>
      </c>
      <c r="AV10" s="38" t="s">
        <v>485</v>
      </c>
      <c r="AW10" s="38" t="s">
        <v>485</v>
      </c>
      <c r="AX10" s="38" t="s">
        <v>485</v>
      </c>
      <c r="AY10" s="23">
        <f t="shared" si="11"/>
        <v>1400.5884155920612</v>
      </c>
      <c r="AZ10" s="23">
        <v>8</v>
      </c>
      <c r="BA10" s="23">
        <f t="shared" si="12"/>
        <v>32.530215203624692</v>
      </c>
      <c r="BB10" s="38" t="s">
        <v>485</v>
      </c>
      <c r="BC10" s="38" t="s">
        <v>485</v>
      </c>
      <c r="BD10" s="38" t="s">
        <v>485</v>
      </c>
      <c r="BE10" s="38" t="s">
        <v>485</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8" t="s">
        <v>485</v>
      </c>
      <c r="BU10" s="38" t="s">
        <v>485</v>
      </c>
      <c r="BV10" s="38" t="s">
        <v>485</v>
      </c>
      <c r="BW10" s="38" t="s">
        <v>485</v>
      </c>
      <c r="BX10" s="38" t="s">
        <v>485</v>
      </c>
      <c r="BY10" s="38" t="s">
        <v>485</v>
      </c>
      <c r="BZ10" s="38" t="s">
        <v>485</v>
      </c>
      <c r="CA10" s="38" t="s">
        <v>485</v>
      </c>
      <c r="CB10" s="38" t="s">
        <v>485</v>
      </c>
      <c r="CC10" s="38" t="s">
        <v>485</v>
      </c>
      <c r="CD10" s="22">
        <f t="shared" si="13"/>
        <v>279.28758690413264</v>
      </c>
      <c r="CE10" s="38" t="s">
        <v>485</v>
      </c>
      <c r="CF10" s="38" t="s">
        <v>485</v>
      </c>
      <c r="CG10" s="38" t="s">
        <v>485</v>
      </c>
    </row>
    <row r="11" spans="1:85">
      <c r="A11" s="22" t="s">
        <v>1367</v>
      </c>
      <c r="B11" s="65">
        <v>8.35</v>
      </c>
      <c r="C11" s="23">
        <f t="shared" si="0"/>
        <v>977.39000107701622</v>
      </c>
      <c r="D11" s="38" t="s">
        <v>485</v>
      </c>
      <c r="E11" s="38" t="s">
        <v>485</v>
      </c>
      <c r="F11" s="38" t="s">
        <v>485</v>
      </c>
      <c r="G11" s="38" t="s">
        <v>485</v>
      </c>
      <c r="H11" s="38" t="s">
        <v>485</v>
      </c>
      <c r="I11" s="38" t="s">
        <v>485</v>
      </c>
      <c r="J11" s="24">
        <v>114.3</v>
      </c>
      <c r="K11" s="38" t="s">
        <v>485</v>
      </c>
      <c r="L11" s="38" t="s">
        <v>485</v>
      </c>
      <c r="M11" s="38" t="s">
        <v>485</v>
      </c>
      <c r="N11" s="38" t="s">
        <v>485</v>
      </c>
      <c r="O11" s="38" t="s">
        <v>485</v>
      </c>
      <c r="P11" s="38" t="s">
        <v>485</v>
      </c>
      <c r="Q11" s="28">
        <f t="shared" si="1"/>
        <v>108.72</v>
      </c>
      <c r="R11" s="38" t="s">
        <v>485</v>
      </c>
      <c r="S11" s="38" t="s">
        <v>485</v>
      </c>
      <c r="T11" s="38" t="s">
        <v>485</v>
      </c>
      <c r="U11" s="38" t="s">
        <v>485</v>
      </c>
      <c r="V11" s="38" t="s">
        <v>485</v>
      </c>
      <c r="W11" s="38" t="s">
        <v>485</v>
      </c>
      <c r="X11" s="24">
        <v>3</v>
      </c>
      <c r="Y11" s="22">
        <f t="shared" si="2"/>
        <v>2.79</v>
      </c>
      <c r="Z11" s="38" t="s">
        <v>485</v>
      </c>
      <c r="AA11" s="38" t="s">
        <v>485</v>
      </c>
      <c r="AB11" s="38" t="s">
        <v>485</v>
      </c>
      <c r="AC11" s="38" t="s">
        <v>485</v>
      </c>
      <c r="AD11" s="38" t="s">
        <v>485</v>
      </c>
      <c r="AE11" s="38" t="s">
        <v>485</v>
      </c>
      <c r="AF11" s="38" t="s">
        <v>485</v>
      </c>
      <c r="AG11" s="38" t="s">
        <v>485</v>
      </c>
      <c r="AH11" s="38" t="s">
        <v>485</v>
      </c>
      <c r="AI11" s="38" t="s">
        <v>485</v>
      </c>
      <c r="AJ11" s="38" t="s">
        <v>485</v>
      </c>
      <c r="AK11" s="38" t="s">
        <v>485</v>
      </c>
      <c r="AL11" s="38" t="s">
        <v>485</v>
      </c>
      <c r="AM11" s="38" t="s">
        <v>485</v>
      </c>
      <c r="AN11" s="22">
        <f t="shared" si="3"/>
        <v>1.5201180774798146</v>
      </c>
      <c r="AO11" s="26">
        <f t="shared" si="4"/>
        <v>34.699438691999994</v>
      </c>
      <c r="AP11" s="22">
        <f t="shared" si="5"/>
        <v>26598.741513207606</v>
      </c>
      <c r="AQ11" s="22">
        <f t="shared" si="6"/>
        <v>39.437076780613438</v>
      </c>
      <c r="AR11" s="22">
        <f t="shared" si="7"/>
        <v>1.5201180774798146</v>
      </c>
      <c r="AS11" s="23">
        <f t="shared" si="8"/>
        <v>34.699438691999994</v>
      </c>
      <c r="AT11" s="22">
        <f t="shared" si="9"/>
        <v>26598.741513207606</v>
      </c>
      <c r="AU11" s="22">
        <f t="shared" si="10"/>
        <v>39.437076780613438</v>
      </c>
      <c r="AV11" s="38" t="s">
        <v>485</v>
      </c>
      <c r="AW11" s="38" t="s">
        <v>485</v>
      </c>
      <c r="AX11" s="38" t="s">
        <v>485</v>
      </c>
      <c r="AY11" s="23">
        <f t="shared" si="11"/>
        <v>3040.2361549596294</v>
      </c>
      <c r="AZ11" s="23">
        <v>9</v>
      </c>
      <c r="BA11" s="23">
        <f t="shared" si="12"/>
        <v>54.528493497616886</v>
      </c>
      <c r="BB11" s="38" t="s">
        <v>485</v>
      </c>
      <c r="BC11" s="38" t="s">
        <v>485</v>
      </c>
      <c r="BD11" s="38" t="s">
        <v>485</v>
      </c>
      <c r="BE11" s="38" t="s">
        <v>485</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8" t="s">
        <v>485</v>
      </c>
      <c r="BU11" s="38" t="s">
        <v>485</v>
      </c>
      <c r="BV11" s="38" t="s">
        <v>485</v>
      </c>
      <c r="BW11" s="38" t="s">
        <v>485</v>
      </c>
      <c r="BX11" s="38" t="s">
        <v>485</v>
      </c>
      <c r="BY11" s="38" t="s">
        <v>485</v>
      </c>
      <c r="BZ11" s="38" t="s">
        <v>485</v>
      </c>
      <c r="CA11" s="38" t="s">
        <v>485</v>
      </c>
      <c r="CB11" s="38" t="s">
        <v>485</v>
      </c>
      <c r="CC11" s="38" t="s">
        <v>485</v>
      </c>
      <c r="CD11" s="22">
        <f t="shared" si="13"/>
        <v>359.08404030531335</v>
      </c>
      <c r="CE11" s="38" t="s">
        <v>485</v>
      </c>
      <c r="CF11" s="38" t="s">
        <v>485</v>
      </c>
      <c r="CG11" s="38" t="s">
        <v>485</v>
      </c>
    </row>
    <row r="12" spans="1:85">
      <c r="A12" s="22" t="s">
        <v>1368</v>
      </c>
      <c r="B12" s="65">
        <v>11.04</v>
      </c>
      <c r="C12" s="23">
        <f t="shared" si="0"/>
        <v>1292.3180141583282</v>
      </c>
      <c r="D12" s="38" t="s">
        <v>485</v>
      </c>
      <c r="E12" s="38" t="s">
        <v>485</v>
      </c>
      <c r="F12" s="38" t="s">
        <v>485</v>
      </c>
      <c r="G12" s="38" t="s">
        <v>485</v>
      </c>
      <c r="H12" s="38" t="s">
        <v>485</v>
      </c>
      <c r="I12" s="38" t="s">
        <v>485</v>
      </c>
      <c r="J12" s="24">
        <v>114.3</v>
      </c>
      <c r="K12" s="38" t="s">
        <v>485</v>
      </c>
      <c r="L12" s="38" t="s">
        <v>485</v>
      </c>
      <c r="M12" s="38" t="s">
        <v>485</v>
      </c>
      <c r="N12" s="38" t="s">
        <v>485</v>
      </c>
      <c r="O12" s="38" t="s">
        <v>485</v>
      </c>
      <c r="P12" s="38" t="s">
        <v>485</v>
      </c>
      <c r="Q12" s="28">
        <f t="shared" si="1"/>
        <v>106.86</v>
      </c>
      <c r="R12" s="38" t="s">
        <v>485</v>
      </c>
      <c r="S12" s="38" t="s">
        <v>485</v>
      </c>
      <c r="T12" s="38" t="s">
        <v>485</v>
      </c>
      <c r="U12" s="38" t="s">
        <v>485</v>
      </c>
      <c r="V12" s="38" t="s">
        <v>485</v>
      </c>
      <c r="W12" s="38" t="s">
        <v>485</v>
      </c>
      <c r="X12" s="24">
        <v>4</v>
      </c>
      <c r="Y12" s="22">
        <f t="shared" si="2"/>
        <v>3.72</v>
      </c>
      <c r="Z12" s="38" t="s">
        <v>485</v>
      </c>
      <c r="AA12" s="38" t="s">
        <v>485</v>
      </c>
      <c r="AB12" s="38" t="s">
        <v>485</v>
      </c>
      <c r="AC12" s="38" t="s">
        <v>485</v>
      </c>
      <c r="AD12" s="38" t="s">
        <v>485</v>
      </c>
      <c r="AE12" s="38" t="s">
        <v>485</v>
      </c>
      <c r="AF12" s="38" t="s">
        <v>485</v>
      </c>
      <c r="AG12" s="38" t="s">
        <v>485</v>
      </c>
      <c r="AH12" s="38" t="s">
        <v>485</v>
      </c>
      <c r="AI12" s="38" t="s">
        <v>485</v>
      </c>
      <c r="AJ12" s="38" t="s">
        <v>485</v>
      </c>
      <c r="AK12" s="38" t="s">
        <v>485</v>
      </c>
      <c r="AL12" s="38" t="s">
        <v>485</v>
      </c>
      <c r="AM12" s="38" t="s">
        <v>485</v>
      </c>
      <c r="AN12" s="22">
        <f t="shared" si="3"/>
        <v>1.977533262413683</v>
      </c>
      <c r="AO12" s="26">
        <f t="shared" si="4"/>
        <v>45.505083023999973</v>
      </c>
      <c r="AP12" s="22">
        <f t="shared" si="5"/>
        <v>34602.506778892093</v>
      </c>
      <c r="AQ12" s="22">
        <f t="shared" si="6"/>
        <v>39.118050181469933</v>
      </c>
      <c r="AR12" s="22">
        <f t="shared" si="7"/>
        <v>1.977533262413683</v>
      </c>
      <c r="AS12" s="23">
        <f t="shared" si="8"/>
        <v>45.505083023999973</v>
      </c>
      <c r="AT12" s="22">
        <f t="shared" si="9"/>
        <v>34602.506778892093</v>
      </c>
      <c r="AU12" s="22">
        <f t="shared" si="10"/>
        <v>39.118050181469933</v>
      </c>
      <c r="AV12" s="38" t="s">
        <v>485</v>
      </c>
      <c r="AW12" s="38" t="s">
        <v>485</v>
      </c>
      <c r="AX12" s="38" t="s">
        <v>485</v>
      </c>
      <c r="AY12" s="23">
        <f t="shared" si="11"/>
        <v>3955.0665248273658</v>
      </c>
      <c r="AZ12" s="23">
        <v>10</v>
      </c>
      <c r="BA12" s="23">
        <f t="shared" si="12"/>
        <v>71.533125788159992</v>
      </c>
      <c r="BB12" s="38" t="s">
        <v>485</v>
      </c>
      <c r="BC12" s="38" t="s">
        <v>485</v>
      </c>
      <c r="BD12" s="38" t="s">
        <v>485</v>
      </c>
      <c r="BE12" s="38" t="s">
        <v>485</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8" t="s">
        <v>485</v>
      </c>
      <c r="BU12" s="38" t="s">
        <v>485</v>
      </c>
      <c r="BV12" s="38" t="s">
        <v>485</v>
      </c>
      <c r="BW12" s="38" t="s">
        <v>485</v>
      </c>
      <c r="BX12" s="38" t="s">
        <v>485</v>
      </c>
      <c r="BY12" s="38" t="s">
        <v>485</v>
      </c>
      <c r="BZ12" s="38" t="s">
        <v>485</v>
      </c>
      <c r="CA12" s="38" t="s">
        <v>485</v>
      </c>
      <c r="CB12" s="38" t="s">
        <v>485</v>
      </c>
      <c r="CC12" s="38" t="s">
        <v>485</v>
      </c>
      <c r="CD12" s="22">
        <f t="shared" si="13"/>
        <v>359.08404030531335</v>
      </c>
      <c r="CE12" s="38" t="s">
        <v>485</v>
      </c>
      <c r="CF12" s="38" t="s">
        <v>485</v>
      </c>
      <c r="CG12" s="38" t="s">
        <v>485</v>
      </c>
    </row>
    <row r="13" spans="1:85">
      <c r="A13" s="22" t="s">
        <v>1369</v>
      </c>
      <c r="B13" s="65">
        <v>16.260000000000002</v>
      </c>
      <c r="C13" s="23">
        <f t="shared" si="0"/>
        <v>1905.8710594044153</v>
      </c>
      <c r="D13" s="38" t="s">
        <v>485</v>
      </c>
      <c r="E13" s="38" t="s">
        <v>485</v>
      </c>
      <c r="F13" s="38" t="s">
        <v>485</v>
      </c>
      <c r="G13" s="38" t="s">
        <v>485</v>
      </c>
      <c r="H13" s="38" t="s">
        <v>485</v>
      </c>
      <c r="I13" s="38" t="s">
        <v>485</v>
      </c>
      <c r="J13" s="24">
        <v>114.3</v>
      </c>
      <c r="K13" s="38" t="s">
        <v>485</v>
      </c>
      <c r="L13" s="38" t="s">
        <v>485</v>
      </c>
      <c r="M13" s="38" t="s">
        <v>485</v>
      </c>
      <c r="N13" s="38" t="s">
        <v>485</v>
      </c>
      <c r="O13" s="38" t="s">
        <v>485</v>
      </c>
      <c r="P13" s="38" t="s">
        <v>485</v>
      </c>
      <c r="Q13" s="28">
        <f t="shared" si="1"/>
        <v>103.14</v>
      </c>
      <c r="R13" s="38" t="s">
        <v>485</v>
      </c>
      <c r="S13" s="38" t="s">
        <v>485</v>
      </c>
      <c r="T13" s="38" t="s">
        <v>485</v>
      </c>
      <c r="U13" s="38" t="s">
        <v>485</v>
      </c>
      <c r="V13" s="38" t="s">
        <v>485</v>
      </c>
      <c r="W13" s="38" t="s">
        <v>485</v>
      </c>
      <c r="X13" s="24">
        <v>6</v>
      </c>
      <c r="Y13" s="22">
        <f t="shared" si="2"/>
        <v>5.58</v>
      </c>
      <c r="Z13" s="38" t="s">
        <v>485</v>
      </c>
      <c r="AA13" s="38" t="s">
        <v>485</v>
      </c>
      <c r="AB13" s="38" t="s">
        <v>485</v>
      </c>
      <c r="AC13" s="38" t="s">
        <v>485</v>
      </c>
      <c r="AD13" s="38" t="s">
        <v>485</v>
      </c>
      <c r="AE13" s="38" t="s">
        <v>485</v>
      </c>
      <c r="AF13" s="38" t="s">
        <v>485</v>
      </c>
      <c r="AG13" s="38" t="s">
        <v>485</v>
      </c>
      <c r="AH13" s="38" t="s">
        <v>485</v>
      </c>
      <c r="AI13" s="38" t="s">
        <v>485</v>
      </c>
      <c r="AJ13" s="38" t="s">
        <v>485</v>
      </c>
      <c r="AK13" s="38" t="s">
        <v>485</v>
      </c>
      <c r="AL13" s="38" t="s">
        <v>485</v>
      </c>
      <c r="AM13" s="38" t="s">
        <v>485</v>
      </c>
      <c r="AN13" s="22">
        <f t="shared" si="3"/>
        <v>2.8233513839078639</v>
      </c>
      <c r="AO13" s="26">
        <f t="shared" si="4"/>
        <v>66.013727975999984</v>
      </c>
      <c r="AP13" s="22">
        <f t="shared" si="5"/>
        <v>49402.473909148976</v>
      </c>
      <c r="AQ13" s="22">
        <f t="shared" si="6"/>
        <v>38.488918535079677</v>
      </c>
      <c r="AR13" s="22">
        <f t="shared" si="7"/>
        <v>2.8233513839078639</v>
      </c>
      <c r="AS13" s="23">
        <f t="shared" si="8"/>
        <v>66.013727975999984</v>
      </c>
      <c r="AT13" s="22">
        <f t="shared" si="9"/>
        <v>49402.473909148976</v>
      </c>
      <c r="AU13" s="22">
        <f t="shared" si="10"/>
        <v>38.488918535079677</v>
      </c>
      <c r="AV13" s="38" t="s">
        <v>485</v>
      </c>
      <c r="AW13" s="38" t="s">
        <v>485</v>
      </c>
      <c r="AX13" s="38" t="s">
        <v>485</v>
      </c>
      <c r="AY13" s="23">
        <f t="shared" si="11"/>
        <v>5646.7027678157274</v>
      </c>
      <c r="AZ13" s="23">
        <v>11</v>
      </c>
      <c r="BA13" s="23">
        <f t="shared" si="12"/>
        <v>103.87606268976688</v>
      </c>
      <c r="BB13" s="38" t="s">
        <v>485</v>
      </c>
      <c r="BC13" s="38" t="s">
        <v>485</v>
      </c>
      <c r="BD13" s="38" t="s">
        <v>485</v>
      </c>
      <c r="BE13" s="38" t="s">
        <v>485</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8" t="s">
        <v>485</v>
      </c>
      <c r="BU13" s="38" t="s">
        <v>485</v>
      </c>
      <c r="BV13" s="38" t="s">
        <v>485</v>
      </c>
      <c r="BW13" s="38" t="s">
        <v>485</v>
      </c>
      <c r="BX13" s="38" t="s">
        <v>485</v>
      </c>
      <c r="BY13" s="38" t="s">
        <v>485</v>
      </c>
      <c r="BZ13" s="38" t="s">
        <v>485</v>
      </c>
      <c r="CA13" s="38" t="s">
        <v>485</v>
      </c>
      <c r="CB13" s="38" t="s">
        <v>485</v>
      </c>
      <c r="CC13" s="38" t="s">
        <v>485</v>
      </c>
      <c r="CD13" s="22">
        <f t="shared" si="13"/>
        <v>359.08404030531335</v>
      </c>
      <c r="CE13" s="38" t="s">
        <v>485</v>
      </c>
      <c r="CF13" s="38" t="s">
        <v>485</v>
      </c>
      <c r="CG13" s="38" t="s">
        <v>485</v>
      </c>
    </row>
    <row r="14" spans="1:85">
      <c r="A14" s="22" t="s">
        <v>1371</v>
      </c>
      <c r="B14" s="65">
        <v>16.489999999999998</v>
      </c>
      <c r="C14" s="23">
        <f t="shared" si="0"/>
        <v>1923.1674119180191</v>
      </c>
      <c r="D14" s="38" t="s">
        <v>485</v>
      </c>
      <c r="E14" s="38" t="s">
        <v>485</v>
      </c>
      <c r="F14" s="38" t="s">
        <v>485</v>
      </c>
      <c r="G14" s="38" t="s">
        <v>485</v>
      </c>
      <c r="H14" s="38" t="s">
        <v>485</v>
      </c>
      <c r="I14" s="38" t="s">
        <v>485</v>
      </c>
      <c r="J14" s="24">
        <v>168.28</v>
      </c>
      <c r="K14" s="38" t="s">
        <v>485</v>
      </c>
      <c r="L14" s="38" t="s">
        <v>485</v>
      </c>
      <c r="M14" s="38" t="s">
        <v>485</v>
      </c>
      <c r="N14" s="38" t="s">
        <v>485</v>
      </c>
      <c r="O14" s="38" t="s">
        <v>485</v>
      </c>
      <c r="P14" s="38" t="s">
        <v>485</v>
      </c>
      <c r="Q14" s="28">
        <f t="shared" si="1"/>
        <v>160.84</v>
      </c>
      <c r="R14" s="38" t="s">
        <v>485</v>
      </c>
      <c r="S14" s="38" t="s">
        <v>485</v>
      </c>
      <c r="T14" s="38" t="s">
        <v>485</v>
      </c>
      <c r="U14" s="38" t="s">
        <v>485</v>
      </c>
      <c r="V14" s="38" t="s">
        <v>485</v>
      </c>
      <c r="W14" s="38" t="s">
        <v>485</v>
      </c>
      <c r="X14" s="24">
        <v>4</v>
      </c>
      <c r="Y14" s="22">
        <f t="shared" si="2"/>
        <v>3.72</v>
      </c>
      <c r="Z14" s="38" t="s">
        <v>485</v>
      </c>
      <c r="AA14" s="38" t="s">
        <v>485</v>
      </c>
      <c r="AB14" s="38" t="s">
        <v>485</v>
      </c>
      <c r="AC14" s="38" t="s">
        <v>485</v>
      </c>
      <c r="AD14" s="38" t="s">
        <v>485</v>
      </c>
      <c r="AE14" s="38" t="s">
        <v>485</v>
      </c>
      <c r="AF14" s="38" t="s">
        <v>485</v>
      </c>
      <c r="AG14" s="38" t="s">
        <v>485</v>
      </c>
      <c r="AH14" s="38" t="s">
        <v>485</v>
      </c>
      <c r="AI14" s="38" t="s">
        <v>485</v>
      </c>
      <c r="AJ14" s="38" t="s">
        <v>485</v>
      </c>
      <c r="AK14" s="38" t="s">
        <v>485</v>
      </c>
      <c r="AL14" s="38" t="s">
        <v>485</v>
      </c>
      <c r="AM14" s="38" t="s">
        <v>485</v>
      </c>
      <c r="AN14" s="22">
        <f t="shared" si="3"/>
        <v>6.5132468457977044</v>
      </c>
      <c r="AO14" s="26">
        <f t="shared" si="4"/>
        <v>100.75473580799996</v>
      </c>
      <c r="AP14" s="22">
        <f t="shared" si="5"/>
        <v>77409.63686472195</v>
      </c>
      <c r="AQ14" s="22">
        <f t="shared" si="6"/>
        <v>58.195609800052807</v>
      </c>
      <c r="AR14" s="22">
        <f t="shared" si="7"/>
        <v>6.5132468457977044</v>
      </c>
      <c r="AS14" s="23">
        <f t="shared" si="8"/>
        <v>100.75473580799996</v>
      </c>
      <c r="AT14" s="22">
        <f t="shared" si="9"/>
        <v>77409.63686472195</v>
      </c>
      <c r="AU14" s="22">
        <f t="shared" si="10"/>
        <v>58.195609800052807</v>
      </c>
      <c r="AV14" s="38" t="s">
        <v>485</v>
      </c>
      <c r="AW14" s="38" t="s">
        <v>485</v>
      </c>
      <c r="AX14" s="38" t="s">
        <v>485</v>
      </c>
      <c r="AY14" s="23">
        <f t="shared" si="11"/>
        <v>13026.493691595409</v>
      </c>
      <c r="AZ14" s="23">
        <v>12</v>
      </c>
      <c r="BA14" s="23">
        <f t="shared" si="12"/>
        <v>158.31907743796074</v>
      </c>
      <c r="BB14" s="38" t="s">
        <v>485</v>
      </c>
      <c r="BC14" s="38" t="s">
        <v>485</v>
      </c>
      <c r="BD14" s="38" t="s">
        <v>485</v>
      </c>
      <c r="BE14" s="38" t="s">
        <v>485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t="s">
        <v>485</v>
      </c>
      <c r="BU14" s="38" t="s">
        <v>485</v>
      </c>
      <c r="BV14" s="38" t="s">
        <v>485</v>
      </c>
      <c r="BW14" s="38" t="s">
        <v>485</v>
      </c>
      <c r="BX14" s="38" t="s">
        <v>485</v>
      </c>
      <c r="BY14" s="38" t="s">
        <v>485</v>
      </c>
      <c r="BZ14" s="38" t="s">
        <v>485</v>
      </c>
      <c r="CA14" s="38" t="s">
        <v>485</v>
      </c>
      <c r="CB14" s="38" t="s">
        <v>485</v>
      </c>
      <c r="CC14" s="38" t="s">
        <v>485</v>
      </c>
      <c r="CD14" s="22">
        <f t="shared" si="13"/>
        <v>528.6672117460904</v>
      </c>
      <c r="CE14" s="38" t="s">
        <v>485</v>
      </c>
      <c r="CF14" s="38" t="s">
        <v>485</v>
      </c>
      <c r="CG14" s="38" t="s">
        <v>485</v>
      </c>
    </row>
    <row r="15" spans="1:85">
      <c r="A15" s="22" t="s">
        <v>1370</v>
      </c>
      <c r="B15" s="65">
        <v>24.44</v>
      </c>
      <c r="C15" s="23">
        <f t="shared" si="0"/>
        <v>2852.1451560439509</v>
      </c>
      <c r="D15" s="38" t="s">
        <v>485</v>
      </c>
      <c r="E15" s="38" t="s">
        <v>485</v>
      </c>
      <c r="F15" s="38" t="s">
        <v>485</v>
      </c>
      <c r="G15" s="38" t="s">
        <v>485</v>
      </c>
      <c r="H15" s="38" t="s">
        <v>485</v>
      </c>
      <c r="I15" s="38" t="s">
        <v>485</v>
      </c>
      <c r="J15" s="24">
        <v>168.28</v>
      </c>
      <c r="K15" s="38" t="s">
        <v>485</v>
      </c>
      <c r="L15" s="38" t="s">
        <v>485</v>
      </c>
      <c r="M15" s="38" t="s">
        <v>485</v>
      </c>
      <c r="N15" s="38" t="s">
        <v>485</v>
      </c>
      <c r="O15" s="38" t="s">
        <v>485</v>
      </c>
      <c r="P15" s="38" t="s">
        <v>485</v>
      </c>
      <c r="Q15" s="28">
        <f t="shared" si="1"/>
        <v>157.12</v>
      </c>
      <c r="R15" s="38" t="s">
        <v>485</v>
      </c>
      <c r="S15" s="38" t="s">
        <v>485</v>
      </c>
      <c r="T15" s="38" t="s">
        <v>485</v>
      </c>
      <c r="U15" s="38" t="s">
        <v>485</v>
      </c>
      <c r="V15" s="38" t="s">
        <v>485</v>
      </c>
      <c r="W15" s="38" t="s">
        <v>485</v>
      </c>
      <c r="X15" s="24">
        <v>6</v>
      </c>
      <c r="Y15" s="22">
        <f t="shared" si="2"/>
        <v>5.58</v>
      </c>
      <c r="Z15" s="38" t="s">
        <v>485</v>
      </c>
      <c r="AA15" s="38" t="s">
        <v>485</v>
      </c>
      <c r="AB15" s="38" t="s">
        <v>485</v>
      </c>
      <c r="AC15" s="38" t="s">
        <v>485</v>
      </c>
      <c r="AD15" s="38" t="s">
        <v>485</v>
      </c>
      <c r="AE15" s="38" t="s">
        <v>485</v>
      </c>
      <c r="AF15" s="38" t="s">
        <v>485</v>
      </c>
      <c r="AG15" s="38" t="s">
        <v>485</v>
      </c>
      <c r="AH15" s="38" t="s">
        <v>485</v>
      </c>
      <c r="AI15" s="38" t="s">
        <v>485</v>
      </c>
      <c r="AJ15" s="38" t="s">
        <v>485</v>
      </c>
      <c r="AK15" s="38" t="s">
        <v>485</v>
      </c>
      <c r="AL15" s="38" t="s">
        <v>485</v>
      </c>
      <c r="AM15" s="38" t="s">
        <v>485</v>
      </c>
      <c r="AN15" s="22">
        <f t="shared" si="3"/>
        <v>9.4485958850214189</v>
      </c>
      <c r="AO15" s="26">
        <f t="shared" si="4"/>
        <v>147.76771190399992</v>
      </c>
      <c r="AP15" s="22">
        <f t="shared" si="5"/>
        <v>112296.12413859542</v>
      </c>
      <c r="AQ15" s="22">
        <f t="shared" si="6"/>
        <v>57.556957007819662</v>
      </c>
      <c r="AR15" s="22">
        <f t="shared" si="7"/>
        <v>9.4485958850214189</v>
      </c>
      <c r="AS15" s="23">
        <f t="shared" si="8"/>
        <v>147.76771190399992</v>
      </c>
      <c r="AT15" s="22">
        <f t="shared" si="9"/>
        <v>112296.12413859542</v>
      </c>
      <c r="AU15" s="22">
        <f t="shared" si="10"/>
        <v>57.556957007819662</v>
      </c>
      <c r="AV15" s="38" t="s">
        <v>485</v>
      </c>
      <c r="AW15" s="38" t="s">
        <v>485</v>
      </c>
      <c r="AX15" s="38" t="s">
        <v>485</v>
      </c>
      <c r="AY15" s="23">
        <f t="shared" si="11"/>
        <v>18897.191770042838</v>
      </c>
      <c r="AZ15" s="23">
        <v>13</v>
      </c>
      <c r="BA15" s="23">
        <f t="shared" si="12"/>
        <v>232.29492034471838</v>
      </c>
      <c r="BB15" s="38" t="s">
        <v>485</v>
      </c>
      <c r="BC15" s="38" t="s">
        <v>485</v>
      </c>
      <c r="BD15" s="38" t="s">
        <v>485</v>
      </c>
      <c r="BE15" s="38" t="s">
        <v>485</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t="s">
        <v>485</v>
      </c>
      <c r="BU15" s="38" t="s">
        <v>485</v>
      </c>
      <c r="BV15" s="38" t="s">
        <v>485</v>
      </c>
      <c r="BW15" s="38" t="s">
        <v>485</v>
      </c>
      <c r="BX15" s="38" t="s">
        <v>485</v>
      </c>
      <c r="BY15" s="38" t="s">
        <v>485</v>
      </c>
      <c r="BZ15" s="38" t="s">
        <v>485</v>
      </c>
      <c r="CA15" s="38" t="s">
        <v>485</v>
      </c>
      <c r="CB15" s="38" t="s">
        <v>485</v>
      </c>
      <c r="CC15" s="38" t="s">
        <v>485</v>
      </c>
      <c r="CD15" s="22">
        <f t="shared" si="13"/>
        <v>528.6672117460904</v>
      </c>
      <c r="CE15" s="38" t="s">
        <v>485</v>
      </c>
      <c r="CF15" s="38" t="s">
        <v>485</v>
      </c>
      <c r="CG15" s="38" t="s">
        <v>485</v>
      </c>
    </row>
    <row r="16" spans="1:85">
      <c r="A16" s="22" t="s">
        <v>1372</v>
      </c>
      <c r="B16" s="65">
        <v>26.75</v>
      </c>
      <c r="C16" s="23">
        <f t="shared" si="0"/>
        <v>3132.7726322148428</v>
      </c>
      <c r="D16" s="38" t="s">
        <v>485</v>
      </c>
      <c r="E16" s="38" t="s">
        <v>485</v>
      </c>
      <c r="F16" s="38" t="s">
        <v>485</v>
      </c>
      <c r="G16" s="38" t="s">
        <v>485</v>
      </c>
      <c r="H16" s="38" t="s">
        <v>485</v>
      </c>
      <c r="I16" s="38" t="s">
        <v>485</v>
      </c>
      <c r="J16" s="24">
        <v>219.1</v>
      </c>
      <c r="K16" s="38" t="s">
        <v>485</v>
      </c>
      <c r="L16" s="38" t="s">
        <v>485</v>
      </c>
      <c r="M16" s="38" t="s">
        <v>485</v>
      </c>
      <c r="N16" s="38" t="s">
        <v>485</v>
      </c>
      <c r="O16" s="38" t="s">
        <v>485</v>
      </c>
      <c r="P16" s="38" t="s">
        <v>485</v>
      </c>
      <c r="Q16" s="28">
        <f t="shared" si="1"/>
        <v>209.79999999999998</v>
      </c>
      <c r="R16" s="38" t="s">
        <v>485</v>
      </c>
      <c r="S16" s="38" t="s">
        <v>485</v>
      </c>
      <c r="T16" s="38" t="s">
        <v>485</v>
      </c>
      <c r="U16" s="38" t="s">
        <v>485</v>
      </c>
      <c r="V16" s="38" t="s">
        <v>485</v>
      </c>
      <c r="W16" s="38" t="s">
        <v>485</v>
      </c>
      <c r="X16" s="24">
        <v>5</v>
      </c>
      <c r="Y16" s="22">
        <f t="shared" si="2"/>
        <v>4.6500000000000004</v>
      </c>
      <c r="Z16" s="38" t="s">
        <v>485</v>
      </c>
      <c r="AA16" s="38" t="s">
        <v>485</v>
      </c>
      <c r="AB16" s="38" t="s">
        <v>485</v>
      </c>
      <c r="AC16" s="38" t="s">
        <v>485</v>
      </c>
      <c r="AD16" s="38" t="s">
        <v>485</v>
      </c>
      <c r="AE16" s="38" t="s">
        <v>485</v>
      </c>
      <c r="AF16" s="38" t="s">
        <v>485</v>
      </c>
      <c r="AG16" s="38" t="s">
        <v>485</v>
      </c>
      <c r="AH16" s="38" t="s">
        <v>485</v>
      </c>
      <c r="AI16" s="38" t="s">
        <v>485</v>
      </c>
      <c r="AJ16" s="38" t="s">
        <v>485</v>
      </c>
      <c r="AK16" s="38" t="s">
        <v>485</v>
      </c>
      <c r="AL16" s="38" t="s">
        <v>485</v>
      </c>
      <c r="AM16" s="38" t="s">
        <v>485</v>
      </c>
      <c r="AN16" s="22">
        <f t="shared" si="3"/>
        <v>18.017525029571697</v>
      </c>
      <c r="AO16" s="26">
        <f t="shared" si="4"/>
        <v>213.88144650000024</v>
      </c>
      <c r="AP16" s="22">
        <f t="shared" si="5"/>
        <v>164468.50780074575</v>
      </c>
      <c r="AQ16" s="22">
        <f t="shared" si="6"/>
        <v>75.837346505531158</v>
      </c>
      <c r="AR16" s="22">
        <f t="shared" si="7"/>
        <v>18.017525029571697</v>
      </c>
      <c r="AS16" s="23">
        <f t="shared" si="8"/>
        <v>213.88144650000024</v>
      </c>
      <c r="AT16" s="22">
        <f t="shared" si="9"/>
        <v>164468.50780074575</v>
      </c>
      <c r="AU16" s="22">
        <f t="shared" si="10"/>
        <v>75.837346505531158</v>
      </c>
      <c r="AV16" s="38" t="s">
        <v>485</v>
      </c>
      <c r="AW16" s="38" t="s">
        <v>485</v>
      </c>
      <c r="AX16" s="38" t="s">
        <v>485</v>
      </c>
      <c r="AY16" s="23">
        <f t="shared" si="11"/>
        <v>36035.050059143396</v>
      </c>
      <c r="AZ16" s="23">
        <v>14</v>
      </c>
      <c r="BA16" s="23">
        <f t="shared" si="12"/>
        <v>336.06948061686546</v>
      </c>
      <c r="BB16" s="38" t="s">
        <v>485</v>
      </c>
      <c r="BC16" s="38" t="s">
        <v>485</v>
      </c>
      <c r="BD16" s="38" t="s">
        <v>485</v>
      </c>
      <c r="BE16" s="38" t="s">
        <v>485</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t="s">
        <v>485</v>
      </c>
      <c r="BU16" s="38" t="s">
        <v>485</v>
      </c>
      <c r="BV16" s="38" t="s">
        <v>485</v>
      </c>
      <c r="BW16" s="38" t="s">
        <v>485</v>
      </c>
      <c r="BX16" s="38" t="s">
        <v>485</v>
      </c>
      <c r="BY16" s="38" t="s">
        <v>485</v>
      </c>
      <c r="BZ16" s="38" t="s">
        <v>485</v>
      </c>
      <c r="CA16" s="38" t="s">
        <v>485</v>
      </c>
      <c r="CB16" s="38" t="s">
        <v>485</v>
      </c>
      <c r="CC16" s="38" t="s">
        <v>485</v>
      </c>
      <c r="CD16" s="22">
        <f t="shared" si="13"/>
        <v>688.3229504015236</v>
      </c>
      <c r="CE16" s="38" t="s">
        <v>485</v>
      </c>
      <c r="CF16" s="38" t="s">
        <v>485</v>
      </c>
      <c r="CG16" s="38" t="s">
        <v>485</v>
      </c>
    </row>
    <row r="17" spans="1:85">
      <c r="A17" s="22" t="s">
        <v>1373</v>
      </c>
      <c r="B17" s="65">
        <v>42.21</v>
      </c>
      <c r="C17" s="23">
        <f t="shared" si="0"/>
        <v>4947.2242878775851</v>
      </c>
      <c r="D17" s="38" t="s">
        <v>485</v>
      </c>
      <c r="E17" s="38" t="s">
        <v>485</v>
      </c>
      <c r="F17" s="38" t="s">
        <v>485</v>
      </c>
      <c r="G17" s="38" t="s">
        <v>485</v>
      </c>
      <c r="H17" s="38" t="s">
        <v>485</v>
      </c>
      <c r="I17" s="38" t="s">
        <v>485</v>
      </c>
      <c r="J17" s="24">
        <v>219.1</v>
      </c>
      <c r="K17" s="38" t="s">
        <v>485</v>
      </c>
      <c r="L17" s="38" t="s">
        <v>485</v>
      </c>
      <c r="M17" s="38" t="s">
        <v>485</v>
      </c>
      <c r="N17" s="38" t="s">
        <v>485</v>
      </c>
      <c r="O17" s="38" t="s">
        <v>485</v>
      </c>
      <c r="P17" s="38" t="s">
        <v>485</v>
      </c>
      <c r="Q17" s="28">
        <f t="shared" si="1"/>
        <v>204.22</v>
      </c>
      <c r="R17" s="38" t="s">
        <v>485</v>
      </c>
      <c r="S17" s="38" t="s">
        <v>485</v>
      </c>
      <c r="T17" s="38" t="s">
        <v>485</v>
      </c>
      <c r="U17" s="38" t="s">
        <v>485</v>
      </c>
      <c r="V17" s="38" t="s">
        <v>485</v>
      </c>
      <c r="W17" s="38" t="s">
        <v>485</v>
      </c>
      <c r="X17" s="24">
        <v>8</v>
      </c>
      <c r="Y17" s="22">
        <f t="shared" si="2"/>
        <v>7.44</v>
      </c>
      <c r="Z17" s="38" t="s">
        <v>485</v>
      </c>
      <c r="AA17" s="38" t="s">
        <v>485</v>
      </c>
      <c r="AB17" s="38" t="s">
        <v>485</v>
      </c>
      <c r="AC17" s="38" t="s">
        <v>485</v>
      </c>
      <c r="AD17" s="38" t="s">
        <v>485</v>
      </c>
      <c r="AE17" s="38" t="s">
        <v>485</v>
      </c>
      <c r="AF17" s="38" t="s">
        <v>485</v>
      </c>
      <c r="AG17" s="38" t="s">
        <v>485</v>
      </c>
      <c r="AH17" s="38" t="s">
        <v>485</v>
      </c>
      <c r="AI17" s="38" t="s">
        <v>485</v>
      </c>
      <c r="AJ17" s="38" t="s">
        <v>485</v>
      </c>
      <c r="AK17" s="38" t="s">
        <v>485</v>
      </c>
      <c r="AL17" s="38" t="s">
        <v>485</v>
      </c>
      <c r="AM17" s="38" t="s">
        <v>485</v>
      </c>
      <c r="AN17" s="22">
        <f t="shared" si="3"/>
        <v>27.738659389312367</v>
      </c>
      <c r="AO17" s="26">
        <f t="shared" si="4"/>
        <v>333.44894659199969</v>
      </c>
      <c r="AP17" s="22">
        <f t="shared" si="5"/>
        <v>253205.4713766533</v>
      </c>
      <c r="AQ17" s="22">
        <f t="shared" si="6"/>
        <v>74.879327253922369</v>
      </c>
      <c r="AR17" s="22">
        <f t="shared" si="7"/>
        <v>27.738659389312367</v>
      </c>
      <c r="AS17" s="23">
        <f t="shared" si="8"/>
        <v>333.44894659199969</v>
      </c>
      <c r="AT17" s="22">
        <f t="shared" si="9"/>
        <v>253205.4713766533</v>
      </c>
      <c r="AU17" s="22">
        <f t="shared" si="10"/>
        <v>74.879327253922369</v>
      </c>
      <c r="AV17" s="38" t="s">
        <v>485</v>
      </c>
      <c r="AW17" s="38" t="s">
        <v>485</v>
      </c>
      <c r="AX17" s="38" t="s">
        <v>485</v>
      </c>
      <c r="AY17" s="23">
        <f t="shared" si="11"/>
        <v>55477.318778624736</v>
      </c>
      <c r="AZ17" s="23">
        <v>15</v>
      </c>
      <c r="BA17" s="23">
        <f t="shared" si="12"/>
        <v>524.21164866885317</v>
      </c>
      <c r="BB17" s="38" t="s">
        <v>485</v>
      </c>
      <c r="BC17" s="38" t="s">
        <v>485</v>
      </c>
      <c r="BD17" s="38" t="s">
        <v>485</v>
      </c>
      <c r="BE17" s="38" t="s">
        <v>485</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t="s">
        <v>485</v>
      </c>
      <c r="BU17" s="38" t="s">
        <v>485</v>
      </c>
      <c r="BV17" s="38" t="s">
        <v>485</v>
      </c>
      <c r="BW17" s="38" t="s">
        <v>485</v>
      </c>
      <c r="BX17" s="38" t="s">
        <v>485</v>
      </c>
      <c r="BY17" s="38" t="s">
        <v>485</v>
      </c>
      <c r="BZ17" s="38" t="s">
        <v>485</v>
      </c>
      <c r="CA17" s="38" t="s">
        <v>485</v>
      </c>
      <c r="CB17" s="38" t="s">
        <v>485</v>
      </c>
      <c r="CC17" s="38" t="s">
        <v>485</v>
      </c>
      <c r="CD17" s="22">
        <f t="shared" si="13"/>
        <v>688.3229504015236</v>
      </c>
      <c r="CE17" s="38" t="s">
        <v>485</v>
      </c>
      <c r="CF17" s="38" t="s">
        <v>485</v>
      </c>
      <c r="CG17" s="38" t="s">
        <v>485</v>
      </c>
    </row>
    <row r="18" spans="1:85">
      <c r="A18" s="22" t="s">
        <v>1374</v>
      </c>
      <c r="B18" s="65">
        <v>59.25</v>
      </c>
      <c r="C18" s="23">
        <f t="shared" si="0"/>
        <v>6959.7951435314726</v>
      </c>
      <c r="D18" s="38" t="s">
        <v>485</v>
      </c>
      <c r="E18" s="38" t="s">
        <v>485</v>
      </c>
      <c r="F18" s="38" t="s">
        <v>485</v>
      </c>
      <c r="G18" s="38" t="s">
        <v>485</v>
      </c>
      <c r="H18" s="38" t="s">
        <v>485</v>
      </c>
      <c r="I18" s="38" t="s">
        <v>485</v>
      </c>
      <c r="J18" s="24">
        <v>273.05</v>
      </c>
      <c r="K18" s="38" t="s">
        <v>485</v>
      </c>
      <c r="L18" s="38" t="s">
        <v>485</v>
      </c>
      <c r="M18" s="38" t="s">
        <v>485</v>
      </c>
      <c r="N18" s="38" t="s">
        <v>485</v>
      </c>
      <c r="O18" s="38" t="s">
        <v>485</v>
      </c>
      <c r="P18" s="38" t="s">
        <v>485</v>
      </c>
      <c r="Q18" s="28">
        <f t="shared" si="1"/>
        <v>256.31</v>
      </c>
      <c r="R18" s="38" t="s">
        <v>485</v>
      </c>
      <c r="S18" s="38" t="s">
        <v>485</v>
      </c>
      <c r="T18" s="38" t="s">
        <v>485</v>
      </c>
      <c r="U18" s="38" t="s">
        <v>485</v>
      </c>
      <c r="V18" s="38" t="s">
        <v>485</v>
      </c>
      <c r="W18" s="38" t="s">
        <v>485</v>
      </c>
      <c r="X18" s="24">
        <v>9</v>
      </c>
      <c r="Y18" s="22">
        <f t="shared" si="2"/>
        <v>8.370000000000001</v>
      </c>
      <c r="Z18" s="38" t="s">
        <v>485</v>
      </c>
      <c r="AA18" s="38" t="s">
        <v>485</v>
      </c>
      <c r="AB18" s="38" t="s">
        <v>485</v>
      </c>
      <c r="AC18" s="38" t="s">
        <v>485</v>
      </c>
      <c r="AD18" s="38" t="s">
        <v>485</v>
      </c>
      <c r="AE18" s="38" t="s">
        <v>485</v>
      </c>
      <c r="AF18" s="38" t="s">
        <v>485</v>
      </c>
      <c r="AG18" s="38" t="s">
        <v>485</v>
      </c>
      <c r="AH18" s="38" t="s">
        <v>485</v>
      </c>
      <c r="AI18" s="38" t="s">
        <v>485</v>
      </c>
      <c r="AJ18" s="38" t="s">
        <v>485</v>
      </c>
      <c r="AK18" s="38" t="s">
        <v>485</v>
      </c>
      <c r="AL18" s="38" t="s">
        <v>485</v>
      </c>
      <c r="AM18" s="38" t="s">
        <v>485</v>
      </c>
      <c r="AN18" s="22">
        <f t="shared" si="3"/>
        <v>61.007440881696027</v>
      </c>
      <c r="AO18" s="26">
        <f t="shared" si="4"/>
        <v>586.56001383900082</v>
      </c>
      <c r="AP18" s="22">
        <f t="shared" si="5"/>
        <v>446859.11651123257</v>
      </c>
      <c r="AQ18" s="22">
        <f t="shared" si="6"/>
        <v>93.625289919444299</v>
      </c>
      <c r="AR18" s="22">
        <f t="shared" si="7"/>
        <v>61.007440881696027</v>
      </c>
      <c r="AS18" s="23">
        <f t="shared" si="8"/>
        <v>586.56001383900082</v>
      </c>
      <c r="AT18" s="22">
        <f t="shared" si="9"/>
        <v>446859.11651123257</v>
      </c>
      <c r="AU18" s="22">
        <f t="shared" si="10"/>
        <v>93.625289919444299</v>
      </c>
      <c r="AV18" s="38" t="s">
        <v>485</v>
      </c>
      <c r="AW18" s="38" t="s">
        <v>485</v>
      </c>
      <c r="AX18" s="38" t="s">
        <v>485</v>
      </c>
      <c r="AY18" s="23">
        <f t="shared" si="11"/>
        <v>122014.88176339206</v>
      </c>
      <c r="AZ18" s="23">
        <v>16</v>
      </c>
      <c r="BA18" s="23">
        <f t="shared" si="12"/>
        <v>921.98036695928704</v>
      </c>
      <c r="BB18" s="38" t="s">
        <v>485</v>
      </c>
      <c r="BC18" s="38" t="s">
        <v>485</v>
      </c>
      <c r="BD18" s="38" t="s">
        <v>485</v>
      </c>
      <c r="BE18" s="38" t="s">
        <v>485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t="s">
        <v>485</v>
      </c>
      <c r="BU18" s="38" t="s">
        <v>485</v>
      </c>
      <c r="BV18" s="38" t="s">
        <v>485</v>
      </c>
      <c r="BW18" s="38" t="s">
        <v>485</v>
      </c>
      <c r="BX18" s="38" t="s">
        <v>485</v>
      </c>
      <c r="BY18" s="38" t="s">
        <v>485</v>
      </c>
      <c r="BZ18" s="38" t="s">
        <v>485</v>
      </c>
      <c r="CA18" s="38" t="s">
        <v>485</v>
      </c>
      <c r="CB18" s="38" t="s">
        <v>485</v>
      </c>
      <c r="CC18" s="38" t="s">
        <v>485</v>
      </c>
      <c r="CD18" s="22">
        <f t="shared" si="13"/>
        <v>857.81187406269305</v>
      </c>
      <c r="CE18" s="38" t="s">
        <v>485</v>
      </c>
      <c r="CF18" s="38" t="s">
        <v>485</v>
      </c>
      <c r="CG18" s="38" t="s">
        <v>485</v>
      </c>
    </row>
    <row r="19" spans="1:85">
      <c r="A19" s="22" t="s">
        <v>1375</v>
      </c>
      <c r="B19" s="23">
        <v>78.12</v>
      </c>
      <c r="C19" s="23">
        <f t="shared" si="0"/>
        <v>9190.1481134360329</v>
      </c>
      <c r="D19" s="38" t="s">
        <v>485</v>
      </c>
      <c r="E19" s="38" t="s">
        <v>485</v>
      </c>
      <c r="F19" s="38" t="s">
        <v>485</v>
      </c>
      <c r="G19" s="38" t="s">
        <v>485</v>
      </c>
      <c r="H19" s="38" t="s">
        <v>485</v>
      </c>
      <c r="I19" s="38" t="s">
        <v>485</v>
      </c>
      <c r="J19" s="24">
        <v>323.85000000000002</v>
      </c>
      <c r="K19" s="38" t="s">
        <v>485</v>
      </c>
      <c r="L19" s="38" t="s">
        <v>485</v>
      </c>
      <c r="M19" s="38" t="s">
        <v>485</v>
      </c>
      <c r="N19" s="38" t="s">
        <v>485</v>
      </c>
      <c r="O19" s="38" t="s">
        <v>485</v>
      </c>
      <c r="P19" s="38" t="s">
        <v>485</v>
      </c>
      <c r="Q19" s="28">
        <f t="shared" si="1"/>
        <v>305.25</v>
      </c>
      <c r="R19" s="38" t="s">
        <v>485</v>
      </c>
      <c r="S19" s="38" t="s">
        <v>485</v>
      </c>
      <c r="T19" s="38" t="s">
        <v>485</v>
      </c>
      <c r="U19" s="38" t="s">
        <v>485</v>
      </c>
      <c r="V19" s="38" t="s">
        <v>485</v>
      </c>
      <c r="W19" s="38" t="s">
        <v>485</v>
      </c>
      <c r="X19" s="24">
        <v>10</v>
      </c>
      <c r="Y19" s="22">
        <f t="shared" si="2"/>
        <v>9.3000000000000007</v>
      </c>
      <c r="Z19" s="38" t="s">
        <v>485</v>
      </c>
      <c r="AA19" s="38" t="s">
        <v>485</v>
      </c>
      <c r="AB19" s="38" t="s">
        <v>485</v>
      </c>
      <c r="AC19" s="38" t="s">
        <v>485</v>
      </c>
      <c r="AD19" s="38" t="s">
        <v>485</v>
      </c>
      <c r="AE19" s="38" t="s">
        <v>485</v>
      </c>
      <c r="AF19" s="38" t="s">
        <v>485</v>
      </c>
      <c r="AG19" s="38" t="s">
        <v>485</v>
      </c>
      <c r="AH19" s="38" t="s">
        <v>485</v>
      </c>
      <c r="AI19" s="38" t="s">
        <v>485</v>
      </c>
      <c r="AJ19" s="38" t="s">
        <v>485</v>
      </c>
      <c r="AK19" s="38" t="s">
        <v>485</v>
      </c>
      <c r="AL19" s="38" t="s">
        <v>485</v>
      </c>
      <c r="AM19" s="38" t="s">
        <v>485</v>
      </c>
      <c r="AN19" s="22">
        <f t="shared" si="3"/>
        <v>113.76046956010687</v>
      </c>
      <c r="AO19" s="26">
        <f t="shared" si="4"/>
        <v>920.42595225000139</v>
      </c>
      <c r="AP19" s="22">
        <f t="shared" si="5"/>
        <v>702550.37554489344</v>
      </c>
      <c r="AQ19" s="22">
        <f t="shared" si="6"/>
        <v>111.258815661951</v>
      </c>
      <c r="AR19" s="22">
        <f t="shared" si="7"/>
        <v>113.76046956010687</v>
      </c>
      <c r="AS19" s="23">
        <f t="shared" si="8"/>
        <v>920.42595225000139</v>
      </c>
      <c r="AT19" s="22">
        <f t="shared" si="9"/>
        <v>702550.37554489344</v>
      </c>
      <c r="AU19" s="22">
        <f t="shared" si="10"/>
        <v>111.258815661951</v>
      </c>
      <c r="AV19" s="38" t="s">
        <v>485</v>
      </c>
      <c r="AW19" s="38" t="s">
        <v>485</v>
      </c>
      <c r="AX19" s="38" t="s">
        <v>485</v>
      </c>
      <c r="AY19" s="23">
        <f t="shared" si="11"/>
        <v>227520.93912021373</v>
      </c>
      <c r="AZ19" s="23">
        <v>17</v>
      </c>
      <c r="BA19" s="23">
        <f t="shared" si="12"/>
        <v>1446.6440255616833</v>
      </c>
      <c r="BB19" s="38" t="s">
        <v>485</v>
      </c>
      <c r="BC19" s="38" t="s">
        <v>485</v>
      </c>
      <c r="BD19" s="38" t="s">
        <v>485</v>
      </c>
      <c r="BE19" s="38" t="s">
        <v>485</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t="s">
        <v>485</v>
      </c>
      <c r="BU19" s="38" t="s">
        <v>485</v>
      </c>
      <c r="BV19" s="38" t="s">
        <v>485</v>
      </c>
      <c r="BW19" s="38" t="s">
        <v>485</v>
      </c>
      <c r="BX19" s="38" t="s">
        <v>485</v>
      </c>
      <c r="BY19" s="38" t="s">
        <v>485</v>
      </c>
      <c r="BZ19" s="38" t="s">
        <v>485</v>
      </c>
      <c r="CA19" s="38" t="s">
        <v>485</v>
      </c>
      <c r="CB19" s="38" t="s">
        <v>485</v>
      </c>
      <c r="CC19" s="38" t="s">
        <v>485</v>
      </c>
      <c r="CD19" s="22">
        <f t="shared" si="13"/>
        <v>1017.4047808650546</v>
      </c>
      <c r="CE19" s="38" t="s">
        <v>485</v>
      </c>
      <c r="CF19" s="38" t="s">
        <v>485</v>
      </c>
      <c r="CG19" s="38" t="s">
        <v>485</v>
      </c>
    </row>
    <row r="20" spans="1:85">
      <c r="A20" s="22" t="s">
        <v>1376</v>
      </c>
      <c r="B20" s="23">
        <v>123.31</v>
      </c>
      <c r="C20" s="23">
        <f t="shared" si="0"/>
        <v>13698.887368148766</v>
      </c>
      <c r="D20" s="38" t="s">
        <v>485</v>
      </c>
      <c r="E20" s="38" t="s">
        <v>485</v>
      </c>
      <c r="F20" s="38" t="s">
        <v>485</v>
      </c>
      <c r="G20" s="38" t="s">
        <v>485</v>
      </c>
      <c r="H20" s="38" t="s">
        <v>485</v>
      </c>
      <c r="I20" s="38" t="s">
        <v>485</v>
      </c>
      <c r="J20" s="24">
        <v>381</v>
      </c>
      <c r="K20" s="38" t="s">
        <v>485</v>
      </c>
      <c r="L20" s="38" t="s">
        <v>485</v>
      </c>
      <c r="M20" s="38" t="s">
        <v>485</v>
      </c>
      <c r="N20" s="38" t="s">
        <v>485</v>
      </c>
      <c r="O20" s="38" t="s">
        <v>485</v>
      </c>
      <c r="P20" s="38" t="s">
        <v>485</v>
      </c>
      <c r="Q20" s="28">
        <f t="shared" si="1"/>
        <v>357.37799999999999</v>
      </c>
      <c r="R20" s="38" t="s">
        <v>485</v>
      </c>
      <c r="S20" s="38" t="s">
        <v>485</v>
      </c>
      <c r="T20" s="38" t="s">
        <v>485</v>
      </c>
      <c r="U20" s="38" t="s">
        <v>485</v>
      </c>
      <c r="V20" s="38" t="s">
        <v>485</v>
      </c>
      <c r="W20" s="38" t="s">
        <v>485</v>
      </c>
      <c r="X20" s="24">
        <v>12.7</v>
      </c>
      <c r="Y20" s="22">
        <f t="shared" si="2"/>
        <v>11.811</v>
      </c>
      <c r="Z20" s="38" t="s">
        <v>485</v>
      </c>
      <c r="AA20" s="38" t="s">
        <v>485</v>
      </c>
      <c r="AB20" s="38" t="s">
        <v>485</v>
      </c>
      <c r="AC20" s="38" t="s">
        <v>485</v>
      </c>
      <c r="AD20" s="38" t="s">
        <v>485</v>
      </c>
      <c r="AE20" s="38" t="s">
        <v>485</v>
      </c>
      <c r="AF20" s="38" t="s">
        <v>485</v>
      </c>
      <c r="AG20" s="38" t="s">
        <v>485</v>
      </c>
      <c r="AH20" s="38" t="s">
        <v>485</v>
      </c>
      <c r="AI20" s="38" t="s">
        <v>485</v>
      </c>
      <c r="AJ20" s="38" t="s">
        <v>485</v>
      </c>
      <c r="AK20" s="38" t="s">
        <v>485</v>
      </c>
      <c r="AL20" s="38" t="s">
        <v>485</v>
      </c>
      <c r="AM20" s="38" t="s">
        <v>485</v>
      </c>
      <c r="AN20" s="22">
        <f t="shared" si="3"/>
        <v>233.63455393077638</v>
      </c>
      <c r="AO20" s="26">
        <f t="shared" si="4"/>
        <v>1610.3946252043086</v>
      </c>
      <c r="AP20" s="22">
        <f t="shared" si="5"/>
        <v>1226428.1046234982</v>
      </c>
      <c r="AQ20" s="22">
        <f t="shared" si="6"/>
        <v>130.59480150545809</v>
      </c>
      <c r="AR20" s="22">
        <f t="shared" si="7"/>
        <v>233.63455393077638</v>
      </c>
      <c r="AS20" s="23">
        <f t="shared" si="8"/>
        <v>1610.3946252043086</v>
      </c>
      <c r="AT20" s="22">
        <f t="shared" si="9"/>
        <v>1226428.1046234982</v>
      </c>
      <c r="AU20" s="22">
        <f t="shared" si="10"/>
        <v>130.59480150545809</v>
      </c>
      <c r="AV20" s="38" t="s">
        <v>485</v>
      </c>
      <c r="AW20" s="38" t="s">
        <v>485</v>
      </c>
      <c r="AX20" s="38" t="s">
        <v>485</v>
      </c>
      <c r="AY20" s="23">
        <f t="shared" si="11"/>
        <v>467269.10786155279</v>
      </c>
      <c r="AZ20" s="23">
        <v>18</v>
      </c>
      <c r="BA20" s="23">
        <f t="shared" si="12"/>
        <v>2531.3273573240417</v>
      </c>
      <c r="BB20" s="38" t="s">
        <v>485</v>
      </c>
      <c r="BC20" s="38" t="s">
        <v>485</v>
      </c>
      <c r="BD20" s="38" t="s">
        <v>485</v>
      </c>
      <c r="BE20" s="38" t="s">
        <v>485</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t="s">
        <v>485</v>
      </c>
      <c r="BU20" s="38" t="s">
        <v>485</v>
      </c>
      <c r="BV20" s="38" t="s">
        <v>485</v>
      </c>
      <c r="BW20" s="38" t="s">
        <v>485</v>
      </c>
      <c r="BX20" s="38" t="s">
        <v>485</v>
      </c>
      <c r="BY20" s="38" t="s">
        <v>485</v>
      </c>
      <c r="BZ20" s="38" t="s">
        <v>485</v>
      </c>
      <c r="CA20" s="38" t="s">
        <v>485</v>
      </c>
      <c r="CB20" s="38" t="s">
        <v>485</v>
      </c>
      <c r="CC20" s="38" t="s">
        <v>485</v>
      </c>
      <c r="CD20" s="22">
        <f t="shared" si="13"/>
        <v>1196.9468010177111</v>
      </c>
      <c r="CE20" s="38" t="s">
        <v>485</v>
      </c>
      <c r="CF20" s="38" t="s">
        <v>485</v>
      </c>
      <c r="CG20" s="38" t="s">
        <v>485</v>
      </c>
    </row>
    <row r="21" spans="1:85">
      <c r="A21" s="22" t="s">
        <v>1377</v>
      </c>
      <c r="B21" s="23">
        <v>155.13</v>
      </c>
      <c r="C21" s="23">
        <f t="shared" si="0"/>
        <v>18411.266923755506</v>
      </c>
      <c r="D21" s="38" t="s">
        <v>485</v>
      </c>
      <c r="E21" s="38" t="s">
        <v>485</v>
      </c>
      <c r="F21" s="38" t="s">
        <v>485</v>
      </c>
      <c r="G21" s="38" t="s">
        <v>485</v>
      </c>
      <c r="H21" s="38" t="s">
        <v>485</v>
      </c>
      <c r="I21" s="38" t="s">
        <v>485</v>
      </c>
      <c r="J21" s="24">
        <v>508</v>
      </c>
      <c r="K21" s="38" t="s">
        <v>485</v>
      </c>
      <c r="L21" s="38" t="s">
        <v>485</v>
      </c>
      <c r="M21" s="38" t="s">
        <v>485</v>
      </c>
      <c r="N21" s="38" t="s">
        <v>485</v>
      </c>
      <c r="O21" s="38" t="s">
        <v>485</v>
      </c>
      <c r="P21" s="38" t="s">
        <v>485</v>
      </c>
      <c r="Q21" s="28">
        <f t="shared" si="1"/>
        <v>484.37799999999999</v>
      </c>
      <c r="R21" s="38" t="s">
        <v>485</v>
      </c>
      <c r="S21" s="38" t="s">
        <v>485</v>
      </c>
      <c r="T21" s="38" t="s">
        <v>485</v>
      </c>
      <c r="U21" s="38" t="s">
        <v>485</v>
      </c>
      <c r="V21" s="38" t="s">
        <v>485</v>
      </c>
      <c r="W21" s="38" t="s">
        <v>485</v>
      </c>
      <c r="X21" s="24">
        <v>12.7</v>
      </c>
      <c r="Y21" s="22">
        <f t="shared" si="2"/>
        <v>11.811</v>
      </c>
      <c r="Z21" s="38" t="s">
        <v>485</v>
      </c>
      <c r="AA21" s="38" t="s">
        <v>485</v>
      </c>
      <c r="AB21" s="38" t="s">
        <v>485</v>
      </c>
      <c r="AC21" s="38" t="s">
        <v>485</v>
      </c>
      <c r="AD21" s="38" t="s">
        <v>485</v>
      </c>
      <c r="AE21" s="38" t="s">
        <v>485</v>
      </c>
      <c r="AF21" s="38" t="s">
        <v>485</v>
      </c>
      <c r="AG21" s="38" t="s">
        <v>485</v>
      </c>
      <c r="AH21" s="38" t="s">
        <v>485</v>
      </c>
      <c r="AI21" s="38" t="s">
        <v>485</v>
      </c>
      <c r="AJ21" s="38" t="s">
        <v>485</v>
      </c>
      <c r="AK21" s="38" t="s">
        <v>485</v>
      </c>
      <c r="AL21" s="38" t="s">
        <v>485</v>
      </c>
      <c r="AM21" s="38" t="s">
        <v>485</v>
      </c>
      <c r="AN21" s="22">
        <f t="shared" si="3"/>
        <v>566.93589492445255</v>
      </c>
      <c r="AO21" s="26">
        <f t="shared" si="4"/>
        <v>2908.4590290703104</v>
      </c>
      <c r="AP21" s="22">
        <f t="shared" si="5"/>
        <v>2232031.0823797346</v>
      </c>
      <c r="AQ21" s="22">
        <f t="shared" si="6"/>
        <v>175.47899569535377</v>
      </c>
      <c r="AR21" s="22">
        <f t="shared" si="7"/>
        <v>566.93589492445255</v>
      </c>
      <c r="AS21" s="23">
        <f t="shared" si="8"/>
        <v>2908.4590290703104</v>
      </c>
      <c r="AT21" s="22">
        <f t="shared" si="9"/>
        <v>2232031.0823797346</v>
      </c>
      <c r="AU21" s="22">
        <f t="shared" si="10"/>
        <v>175.47899569535377</v>
      </c>
      <c r="AV21" s="38" t="s">
        <v>485</v>
      </c>
      <c r="AW21" s="38" t="s">
        <v>485</v>
      </c>
      <c r="AX21" s="38" t="s">
        <v>485</v>
      </c>
      <c r="AY21" s="23">
        <f t="shared" si="11"/>
        <v>1133871.7898489051</v>
      </c>
      <c r="AZ21" s="23">
        <v>19</v>
      </c>
      <c r="BA21" s="23">
        <f t="shared" si="12"/>
        <v>4570.3221548599631</v>
      </c>
      <c r="BB21" s="38" t="s">
        <v>485</v>
      </c>
      <c r="BC21" s="38" t="s">
        <v>485</v>
      </c>
      <c r="BD21" s="38" t="s">
        <v>485</v>
      </c>
      <c r="BE21" s="38" t="s">
        <v>485</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t="s">
        <v>485</v>
      </c>
      <c r="BU21" s="38" t="s">
        <v>485</v>
      </c>
      <c r="BV21" s="38" t="s">
        <v>485</v>
      </c>
      <c r="BW21" s="38" t="s">
        <v>485</v>
      </c>
      <c r="BX21" s="38" t="s">
        <v>485</v>
      </c>
      <c r="BY21" s="38" t="s">
        <v>485</v>
      </c>
      <c r="BZ21" s="38" t="s">
        <v>485</v>
      </c>
      <c r="CA21" s="38" t="s">
        <v>485</v>
      </c>
      <c r="CB21" s="38" t="s">
        <v>485</v>
      </c>
      <c r="CC21" s="38" t="s">
        <v>485</v>
      </c>
      <c r="CD21" s="22">
        <f t="shared" si="13"/>
        <v>1595.9290680236149</v>
      </c>
      <c r="CE21" s="38" t="s">
        <v>485</v>
      </c>
      <c r="CF21" s="38" t="s">
        <v>485</v>
      </c>
      <c r="CG21" s="38" t="s">
        <v>485</v>
      </c>
    </row>
    <row r="22" spans="1:85">
      <c r="A22" s="22" t="s">
        <v>1378</v>
      </c>
      <c r="B22" s="23">
        <v>186.95</v>
      </c>
      <c r="C22" s="23">
        <f t="shared" si="0"/>
        <v>22181.170568240828</v>
      </c>
      <c r="D22" s="38" t="s">
        <v>485</v>
      </c>
      <c r="E22" s="38" t="s">
        <v>485</v>
      </c>
      <c r="F22" s="38" t="s">
        <v>485</v>
      </c>
      <c r="G22" s="38" t="s">
        <v>485</v>
      </c>
      <c r="H22" s="38" t="s">
        <v>485</v>
      </c>
      <c r="I22" s="38" t="s">
        <v>485</v>
      </c>
      <c r="J22" s="24">
        <v>609.6</v>
      </c>
      <c r="K22" s="38" t="s">
        <v>485</v>
      </c>
      <c r="L22" s="38" t="s">
        <v>485</v>
      </c>
      <c r="M22" s="38" t="s">
        <v>485</v>
      </c>
      <c r="N22" s="38" t="s">
        <v>485</v>
      </c>
      <c r="O22" s="38" t="s">
        <v>485</v>
      </c>
      <c r="P22" s="38" t="s">
        <v>485</v>
      </c>
      <c r="Q22" s="28">
        <f t="shared" si="1"/>
        <v>585.97800000000007</v>
      </c>
      <c r="R22" s="38" t="s">
        <v>485</v>
      </c>
      <c r="S22" s="38" t="s">
        <v>485</v>
      </c>
      <c r="T22" s="38" t="s">
        <v>485</v>
      </c>
      <c r="U22" s="38" t="s">
        <v>485</v>
      </c>
      <c r="V22" s="38" t="s">
        <v>485</v>
      </c>
      <c r="W22" s="38" t="s">
        <v>485</v>
      </c>
      <c r="X22" s="24">
        <v>12.7</v>
      </c>
      <c r="Y22" s="22">
        <f t="shared" si="2"/>
        <v>11.811</v>
      </c>
      <c r="Z22" s="38" t="s">
        <v>485</v>
      </c>
      <c r="AA22" s="38" t="s">
        <v>485</v>
      </c>
      <c r="AB22" s="38" t="s">
        <v>485</v>
      </c>
      <c r="AC22" s="38" t="s">
        <v>485</v>
      </c>
      <c r="AD22" s="38" t="s">
        <v>485</v>
      </c>
      <c r="AE22" s="38" t="s">
        <v>485</v>
      </c>
      <c r="AF22" s="38" t="s">
        <v>485</v>
      </c>
      <c r="AG22" s="38" t="s">
        <v>485</v>
      </c>
      <c r="AH22" s="38" t="s">
        <v>485</v>
      </c>
      <c r="AI22" s="38" t="s">
        <v>485</v>
      </c>
      <c r="AJ22" s="38" t="s">
        <v>485</v>
      </c>
      <c r="AK22" s="38" t="s">
        <v>485</v>
      </c>
      <c r="AL22" s="38" t="s">
        <v>485</v>
      </c>
      <c r="AM22" s="38" t="s">
        <v>485</v>
      </c>
      <c r="AN22" s="22">
        <f t="shared" si="3"/>
        <v>991.19662787986192</v>
      </c>
      <c r="AO22" s="26">
        <f t="shared" si="4"/>
        <v>4221.230003523101</v>
      </c>
      <c r="AP22" s="22">
        <f t="shared" si="5"/>
        <v>3251957.4405507282</v>
      </c>
      <c r="AQ22" s="22">
        <f t="shared" si="6"/>
        <v>211.39157629917523</v>
      </c>
      <c r="AR22" s="22">
        <f t="shared" si="7"/>
        <v>991.19662787986192</v>
      </c>
      <c r="AS22" s="23">
        <f t="shared" si="8"/>
        <v>4221.230003523101</v>
      </c>
      <c r="AT22" s="22">
        <f t="shared" si="9"/>
        <v>3251957.4405507282</v>
      </c>
      <c r="AU22" s="22">
        <f t="shared" si="10"/>
        <v>211.39157629917523</v>
      </c>
      <c r="AV22" s="38" t="s">
        <v>485</v>
      </c>
      <c r="AW22" s="38" t="s">
        <v>485</v>
      </c>
      <c r="AX22" s="38" t="s">
        <v>485</v>
      </c>
      <c r="AY22" s="23">
        <f t="shared" si="11"/>
        <v>1982393.255759724</v>
      </c>
      <c r="AZ22" s="23">
        <v>20</v>
      </c>
      <c r="BA22" s="23">
        <f t="shared" si="12"/>
        <v>6632.4179794533657</v>
      </c>
      <c r="BB22" s="38" t="s">
        <v>485</v>
      </c>
      <c r="BC22" s="38" t="s">
        <v>485</v>
      </c>
      <c r="BD22" s="38" t="s">
        <v>485</v>
      </c>
      <c r="BE22" s="38" t="s">
        <v>485</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8" t="s">
        <v>485</v>
      </c>
      <c r="BU22" s="38" t="s">
        <v>485</v>
      </c>
      <c r="BV22" s="38" t="s">
        <v>485</v>
      </c>
      <c r="BW22" s="38" t="s">
        <v>485</v>
      </c>
      <c r="BX22" s="38" t="s">
        <v>485</v>
      </c>
      <c r="BY22" s="38" t="s">
        <v>485</v>
      </c>
      <c r="BZ22" s="38" t="s">
        <v>485</v>
      </c>
      <c r="CA22" s="38" t="s">
        <v>485</v>
      </c>
      <c r="CB22" s="38" t="s">
        <v>485</v>
      </c>
      <c r="CC22" s="38" t="s">
        <v>485</v>
      </c>
      <c r="CD22" s="22">
        <f t="shared" si="13"/>
        <v>1915.114881628338</v>
      </c>
      <c r="CE22" s="38" t="s">
        <v>485</v>
      </c>
      <c r="CF22" s="38" t="s">
        <v>485</v>
      </c>
      <c r="CG22" s="38" t="s">
        <v>485</v>
      </c>
    </row>
    <row r="23" spans="1:85">
      <c r="A23" s="23"/>
      <c r="B23" s="23"/>
      <c r="C23" s="23"/>
      <c r="D23" s="38"/>
      <c r="E23" s="38"/>
      <c r="F23" s="38"/>
      <c r="G23" s="38"/>
      <c r="H23" s="38"/>
      <c r="I23" s="38"/>
      <c r="J23" s="24"/>
      <c r="K23" s="38"/>
      <c r="L23" s="38"/>
      <c r="M23" s="38"/>
      <c r="N23" s="38"/>
      <c r="O23" s="38"/>
      <c r="P23" s="38"/>
      <c r="Q23" s="28"/>
      <c r="R23" s="38"/>
      <c r="S23" s="38"/>
      <c r="T23" s="38"/>
      <c r="U23" s="38"/>
      <c r="V23" s="38"/>
      <c r="W23" s="38"/>
      <c r="X23" s="24"/>
      <c r="Y23" s="22"/>
      <c r="Z23" s="38"/>
      <c r="AA23" s="38"/>
      <c r="AB23" s="38"/>
      <c r="AC23" s="38"/>
      <c r="AD23" s="38"/>
      <c r="AE23" s="38"/>
      <c r="AF23" s="38"/>
      <c r="AG23" s="38"/>
      <c r="AH23" s="38"/>
      <c r="AI23" s="38"/>
      <c r="AJ23" s="38"/>
      <c r="AK23" s="38"/>
      <c r="AL23" s="38"/>
      <c r="AM23" s="38"/>
      <c r="AN23" s="22"/>
      <c r="AO23" s="26"/>
      <c r="AP23" s="22"/>
      <c r="AQ23" s="22"/>
      <c r="AR23" s="22"/>
      <c r="AS23" s="23"/>
      <c r="AT23" s="22"/>
      <c r="AU23" s="22"/>
      <c r="AV23" s="38"/>
      <c r="AW23" s="38"/>
      <c r="AX23" s="38"/>
      <c r="AY23" s="23"/>
      <c r="AZ23" s="23"/>
      <c r="BA23" s="23"/>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22"/>
      <c r="CE23" s="38"/>
      <c r="CF23" s="38"/>
      <c r="CG23" s="38"/>
    </row>
    <row r="24" spans="1:85">
      <c r="A24" s="23"/>
      <c r="B24" s="23"/>
      <c r="C24" s="23"/>
      <c r="D24" s="38"/>
      <c r="E24" s="38"/>
      <c r="F24" s="38"/>
      <c r="G24" s="38"/>
      <c r="H24" s="38"/>
      <c r="I24" s="38"/>
      <c r="J24" s="24"/>
      <c r="K24" s="38"/>
      <c r="L24" s="38"/>
      <c r="M24" s="38"/>
      <c r="N24" s="38"/>
      <c r="O24" s="38"/>
      <c r="P24" s="38"/>
      <c r="Q24" s="28"/>
      <c r="R24" s="38"/>
      <c r="S24" s="38"/>
      <c r="T24" s="38"/>
      <c r="U24" s="38"/>
      <c r="V24" s="38"/>
      <c r="W24" s="38"/>
      <c r="X24" s="24"/>
      <c r="Y24" s="22"/>
      <c r="Z24" s="38"/>
      <c r="AA24" s="38"/>
      <c r="AB24" s="38"/>
      <c r="AC24" s="38"/>
      <c r="AD24" s="38"/>
      <c r="AE24" s="38"/>
      <c r="AF24" s="38"/>
      <c r="AG24" s="38"/>
      <c r="AH24" s="38"/>
      <c r="AI24" s="38"/>
      <c r="AJ24" s="38"/>
      <c r="AK24" s="38"/>
      <c r="AL24" s="38"/>
      <c r="AM24" s="38"/>
      <c r="AN24" s="22"/>
      <c r="AO24" s="26"/>
      <c r="AP24" s="22"/>
      <c r="AQ24" s="22"/>
      <c r="AR24" s="22"/>
      <c r="AS24" s="23"/>
      <c r="AT24" s="22"/>
      <c r="AU24" s="22"/>
      <c r="AV24" s="38"/>
      <c r="AW24" s="38"/>
      <c r="AX24" s="38"/>
      <c r="AY24" s="23"/>
      <c r="AZ24" s="23"/>
      <c r="BA24" s="23"/>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22"/>
      <c r="CE24" s="38"/>
      <c r="CF24" s="38"/>
      <c r="CG24" s="38"/>
    </row>
    <row r="25" spans="1:85">
      <c r="A25" s="23"/>
      <c r="B25" s="23"/>
      <c r="C25" s="23"/>
      <c r="D25" s="38"/>
      <c r="E25" s="38"/>
      <c r="F25" s="38"/>
      <c r="G25" s="38"/>
      <c r="H25" s="38"/>
      <c r="I25" s="38"/>
      <c r="J25" s="24"/>
      <c r="K25" s="38"/>
      <c r="L25" s="38"/>
      <c r="M25" s="38"/>
      <c r="N25" s="38"/>
      <c r="O25" s="38"/>
      <c r="P25" s="38"/>
      <c r="Q25" s="28"/>
      <c r="R25" s="38"/>
      <c r="S25" s="38"/>
      <c r="T25" s="38"/>
      <c r="U25" s="38"/>
      <c r="V25" s="38"/>
      <c r="W25" s="38"/>
      <c r="X25" s="24"/>
      <c r="Y25" s="22"/>
      <c r="Z25" s="38"/>
      <c r="AA25" s="38"/>
      <c r="AB25" s="38"/>
      <c r="AC25" s="38"/>
      <c r="AD25" s="38"/>
      <c r="AE25" s="38"/>
      <c r="AF25" s="38"/>
      <c r="AG25" s="38"/>
      <c r="AH25" s="38"/>
      <c r="AI25" s="38"/>
      <c r="AJ25" s="38"/>
      <c r="AK25" s="38"/>
      <c r="AL25" s="38"/>
      <c r="AM25" s="38"/>
      <c r="AN25" s="22"/>
      <c r="AO25" s="26"/>
      <c r="AP25" s="22"/>
      <c r="AQ25" s="22"/>
      <c r="AR25" s="22"/>
      <c r="AS25" s="23"/>
      <c r="AT25" s="22"/>
      <c r="AU25" s="22"/>
      <c r="AV25" s="38"/>
      <c r="AW25" s="38"/>
      <c r="AX25" s="38"/>
      <c r="AY25" s="23"/>
      <c r="AZ25" s="23"/>
      <c r="BA25" s="23"/>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22"/>
      <c r="CE25" s="38"/>
      <c r="CF25" s="38"/>
      <c r="CG25" s="38"/>
    </row>
    <row r="26" spans="1:85">
      <c r="A26" s="23"/>
      <c r="B26" s="23"/>
      <c r="C26" s="23"/>
      <c r="D26" s="38"/>
      <c r="E26" s="38"/>
      <c r="F26" s="38"/>
      <c r="G26" s="38"/>
      <c r="H26" s="38"/>
      <c r="I26" s="38"/>
      <c r="J26" s="24"/>
      <c r="K26" s="38"/>
      <c r="L26" s="38"/>
      <c r="M26" s="38"/>
      <c r="N26" s="38"/>
      <c r="O26" s="38"/>
      <c r="P26" s="38"/>
      <c r="Q26" s="28"/>
      <c r="R26" s="38"/>
      <c r="S26" s="38"/>
      <c r="T26" s="38"/>
      <c r="U26" s="38"/>
      <c r="V26" s="38"/>
      <c r="W26" s="38"/>
      <c r="X26" s="24"/>
      <c r="Y26" s="22"/>
      <c r="Z26" s="38"/>
      <c r="AA26" s="38"/>
      <c r="AB26" s="38"/>
      <c r="AC26" s="38"/>
      <c r="AD26" s="38"/>
      <c r="AE26" s="38"/>
      <c r="AF26" s="38"/>
      <c r="AG26" s="38"/>
      <c r="AH26" s="38"/>
      <c r="AI26" s="38"/>
      <c r="AJ26" s="38"/>
      <c r="AK26" s="38"/>
      <c r="AL26" s="38"/>
      <c r="AM26" s="38"/>
      <c r="AN26" s="22"/>
      <c r="AO26" s="26"/>
      <c r="AP26" s="22"/>
      <c r="AQ26" s="22"/>
      <c r="AR26" s="22"/>
      <c r="AS26" s="23"/>
      <c r="AT26" s="22"/>
      <c r="AU26" s="22"/>
      <c r="AV26" s="38"/>
      <c r="AW26" s="38"/>
      <c r="AX26" s="38"/>
      <c r="AY26" s="23"/>
      <c r="AZ26" s="23"/>
      <c r="BA26" s="23"/>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22"/>
      <c r="CE26" s="38"/>
      <c r="CF26" s="38"/>
      <c r="CG26" s="38"/>
    </row>
    <row r="27" spans="1:85">
      <c r="A27" s="23"/>
      <c r="B27" s="23"/>
      <c r="C27" s="23"/>
      <c r="D27" s="38"/>
      <c r="E27" s="38"/>
      <c r="F27" s="38"/>
      <c r="G27" s="38"/>
      <c r="H27" s="38"/>
      <c r="I27" s="38"/>
      <c r="J27" s="24"/>
      <c r="K27" s="38"/>
      <c r="L27" s="38"/>
      <c r="M27" s="38"/>
      <c r="N27" s="38"/>
      <c r="O27" s="38"/>
      <c r="P27" s="38"/>
      <c r="Q27" s="28"/>
      <c r="R27" s="38"/>
      <c r="S27" s="38"/>
      <c r="T27" s="38"/>
      <c r="U27" s="38"/>
      <c r="V27" s="38"/>
      <c r="W27" s="38"/>
      <c r="X27" s="24"/>
      <c r="Y27" s="22"/>
      <c r="Z27" s="38"/>
      <c r="AA27" s="38"/>
      <c r="AB27" s="38"/>
      <c r="AC27" s="38"/>
      <c r="AD27" s="38"/>
      <c r="AE27" s="38"/>
      <c r="AF27" s="38"/>
      <c r="AG27" s="38"/>
      <c r="AH27" s="38"/>
      <c r="AI27" s="38"/>
      <c r="AJ27" s="38"/>
      <c r="AK27" s="38"/>
      <c r="AL27" s="38"/>
      <c r="AM27" s="38"/>
      <c r="AN27" s="22"/>
      <c r="AO27" s="26"/>
      <c r="AP27" s="22"/>
      <c r="AQ27" s="22"/>
      <c r="AR27" s="22"/>
      <c r="AS27" s="23"/>
      <c r="AT27" s="22"/>
      <c r="AU27" s="22"/>
      <c r="AV27" s="38"/>
      <c r="AW27" s="38"/>
      <c r="AX27" s="38"/>
      <c r="AY27" s="23"/>
      <c r="AZ27" s="23"/>
      <c r="BA27" s="23"/>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22"/>
      <c r="CE27" s="38"/>
      <c r="CF27" s="38"/>
      <c r="CG27" s="38"/>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4.5"/>
  <sheetData>
    <row r="1" spans="1:81" ht="15">
      <c r="A1" s="30" t="s">
        <v>0</v>
      </c>
      <c r="B1" s="31" t="s">
        <v>307</v>
      </c>
      <c r="C1" s="31" t="s">
        <v>298</v>
      </c>
      <c r="D1" s="31" t="s">
        <v>310</v>
      </c>
      <c r="E1" s="31" t="s">
        <v>1188</v>
      </c>
      <c r="F1" s="31" t="s">
        <v>314</v>
      </c>
      <c r="G1" s="31" t="s">
        <v>316</v>
      </c>
      <c r="H1" s="31" t="s">
        <v>318</v>
      </c>
      <c r="I1" s="31" t="s">
        <v>1189</v>
      </c>
      <c r="J1" s="32" t="s">
        <v>1190</v>
      </c>
      <c r="K1" s="32" t="s">
        <v>324</v>
      </c>
      <c r="L1" s="31" t="s">
        <v>326</v>
      </c>
      <c r="M1" s="31" t="s">
        <v>328</v>
      </c>
      <c r="N1" s="31" t="s">
        <v>1191</v>
      </c>
      <c r="O1" s="32" t="s">
        <v>1192</v>
      </c>
      <c r="P1" s="33" t="s">
        <v>1193</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1127</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1159</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1128</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1160</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1129</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1161</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1130</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486</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1131</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1162</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1132</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1163</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1133</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1164</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1134</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487</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1135</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1165</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1136</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1166</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1137</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1167</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1138</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1168</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1139</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1169</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1140</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1170</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1141</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1171</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1142</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1172</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1143</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1173</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1144</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1159</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1145</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1174</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1146</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1175</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1147</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1176</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1148</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1177</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1149</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1178</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1150</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1179</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1151</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1180</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1152</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1181</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1153</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1176</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1154</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1165</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1155</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1182</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1156</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1183</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1157</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1175</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1158</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1184</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2026-10-30T02:32:39Z</dcterms:modified>
  <cp:category/>
</cp:coreProperties>
</file>